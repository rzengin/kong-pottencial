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codeName="ThisWorkbook" hidePivotFieldList="1"/>
  <xr:revisionPtr revIDLastSave="727" documentId="8_{C92FBB8C-F246-4DF8-A182-51DD814575CE}" xr6:coauthVersionLast="47" xr6:coauthVersionMax="47" xr10:uidLastSave="{3AE2051F-3DC2-4050-844C-75763033ED44}"/>
  <bookViews>
    <workbookView xWindow="28680" yWindow="-120" windowWidth="29040" windowHeight="15720" tabRatio="415" xr2:uid="{00000000-000D-0000-FFFF-FFFF00000000}"/>
  </bookViews>
  <sheets>
    <sheet name="Gantt" sheetId="18" r:id="rId1"/>
    <sheet name="Feriados" sheetId="19" r:id="rId2"/>
    <sheet name="Indicadores" sheetId="20" r:id="rId3"/>
    <sheet name="Plano de Ação" sheetId="21" r:id="rId4"/>
  </sheets>
  <definedNames>
    <definedName name="Hoje" localSheetId="0">TODAY()</definedName>
    <definedName name="Incremento_de_Rolagem" localSheetId="0">Gantt!$C$7</definedName>
    <definedName name="Início_do_projeto" localSheetId="0">Gantt!$C$6</definedName>
    <definedName name="_xlnm.Print_Titles" localSheetId="0">Gantt!$6:$9</definedName>
  </definedNames>
  <calcPr calcId="191028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8" l="1"/>
  <c r="B18" i="20"/>
  <c r="B19" i="20" l="1"/>
  <c r="J8" i="18"/>
  <c r="J34" i="18" s="1"/>
  <c r="J11" i="18" l="1"/>
  <c r="J30" i="18"/>
  <c r="J12" i="18"/>
  <c r="J23" i="18"/>
  <c r="J41" i="18"/>
  <c r="J22" i="18"/>
  <c r="J24" i="18"/>
  <c r="J26" i="18"/>
  <c r="J27" i="18"/>
  <c r="J25" i="18"/>
  <c r="J32" i="18"/>
  <c r="J28" i="18"/>
  <c r="J33" i="18"/>
  <c r="J15" i="18"/>
  <c r="J37" i="18"/>
  <c r="J35" i="18"/>
  <c r="J31" i="18"/>
  <c r="J36" i="18"/>
  <c r="J17" i="18"/>
  <c r="J29" i="18"/>
  <c r="J9" i="18"/>
  <c r="J7" i="18"/>
  <c r="K8" i="18"/>
  <c r="K34" i="18" s="1"/>
  <c r="J10" i="18"/>
  <c r="K10" i="18" l="1"/>
  <c r="K17" i="18"/>
  <c r="K22" i="18"/>
  <c r="K26" i="18"/>
  <c r="K29" i="18"/>
  <c r="K25" i="18"/>
  <c r="K11" i="18"/>
  <c r="K12" i="18"/>
  <c r="K23" i="18"/>
  <c r="K30" i="18"/>
  <c r="K41" i="18"/>
  <c r="K27" i="18"/>
  <c r="K31" i="18"/>
  <c r="K32" i="18"/>
  <c r="K28" i="18"/>
  <c r="K33" i="18"/>
  <c r="K15" i="18"/>
  <c r="K24" i="18"/>
  <c r="K37" i="18"/>
  <c r="K35" i="18"/>
  <c r="K36" i="18"/>
  <c r="L8" i="18"/>
  <c r="L34" i="18" s="1"/>
  <c r="K9" i="18"/>
  <c r="L10" i="18" l="1"/>
  <c r="L11" i="18"/>
  <c r="L12" i="18"/>
  <c r="L24" i="18"/>
  <c r="L27" i="18"/>
  <c r="L30" i="18"/>
  <c r="L33" i="18"/>
  <c r="L17" i="18"/>
  <c r="L22" i="18"/>
  <c r="L26" i="18"/>
  <c r="L29" i="18"/>
  <c r="L32" i="18"/>
  <c r="L25" i="18"/>
  <c r="L41" i="18"/>
  <c r="L15" i="18"/>
  <c r="L28" i="18"/>
  <c r="L23" i="18"/>
  <c r="L36" i="18"/>
  <c r="L31" i="18"/>
  <c r="L37" i="18"/>
  <c r="L35" i="18"/>
  <c r="M8" i="18"/>
  <c r="M34" i="18" s="1"/>
  <c r="L9" i="18"/>
  <c r="M10" i="18" l="1"/>
  <c r="M11" i="18"/>
  <c r="M12" i="18"/>
  <c r="M24" i="18"/>
  <c r="M27" i="18"/>
  <c r="M30" i="18"/>
  <c r="M33" i="18"/>
  <c r="M35" i="18"/>
  <c r="M17" i="18"/>
  <c r="M22" i="18"/>
  <c r="M26" i="18"/>
  <c r="M23" i="18"/>
  <c r="M28" i="18"/>
  <c r="M29" i="18"/>
  <c r="M15" i="18"/>
  <c r="M41" i="18"/>
  <c r="M25" i="18"/>
  <c r="M32" i="18"/>
  <c r="M36" i="18"/>
  <c r="M31" i="18"/>
  <c r="M37" i="18"/>
  <c r="M9" i="18"/>
  <c r="N8" i="18"/>
  <c r="N34" i="18" s="1"/>
  <c r="N10" i="18" l="1"/>
  <c r="N23" i="18"/>
  <c r="N28" i="18"/>
  <c r="N29" i="18"/>
  <c r="N11" i="18"/>
  <c r="N17" i="18"/>
  <c r="N37" i="18"/>
  <c r="N12" i="18"/>
  <c r="N15" i="18"/>
  <c r="N22" i="18"/>
  <c r="N30" i="18"/>
  <c r="N41" i="18"/>
  <c r="N24" i="18"/>
  <c r="N25" i="18"/>
  <c r="N33" i="18"/>
  <c r="N32" i="18"/>
  <c r="N36" i="18"/>
  <c r="N26" i="18"/>
  <c r="N31" i="18"/>
  <c r="N35" i="18"/>
  <c r="N27" i="18"/>
  <c r="O8" i="18"/>
  <c r="O34" i="18" s="1"/>
  <c r="N9" i="18"/>
  <c r="O10" i="18" l="1"/>
  <c r="O11" i="18"/>
  <c r="O12" i="18"/>
  <c r="O24" i="18"/>
  <c r="O27" i="18"/>
  <c r="O30" i="18"/>
  <c r="O15" i="18"/>
  <c r="O32" i="18"/>
  <c r="O23" i="18"/>
  <c r="O26" i="18"/>
  <c r="O31" i="18"/>
  <c r="O17" i="18"/>
  <c r="O28" i="18"/>
  <c r="O37" i="18"/>
  <c r="O22" i="18"/>
  <c r="O29" i="18"/>
  <c r="O25" i="18"/>
  <c r="O33" i="18"/>
  <c r="O36" i="18"/>
  <c r="O41" i="18"/>
  <c r="O35" i="18"/>
  <c r="O9" i="18"/>
  <c r="P8" i="18"/>
  <c r="P34" i="18" s="1"/>
  <c r="P10" i="18" l="1"/>
  <c r="P15" i="18"/>
  <c r="P23" i="18"/>
  <c r="P25" i="18"/>
  <c r="P28" i="18"/>
  <c r="P31" i="18"/>
  <c r="P11" i="18"/>
  <c r="P12" i="18"/>
  <c r="P24" i="18"/>
  <c r="P27" i="18"/>
  <c r="P30" i="18"/>
  <c r="P33" i="18"/>
  <c r="P26" i="18"/>
  <c r="P32" i="18"/>
  <c r="P35" i="18"/>
  <c r="P36" i="18"/>
  <c r="P17" i="18"/>
  <c r="P37" i="18"/>
  <c r="P29" i="18"/>
  <c r="P41" i="18"/>
  <c r="P22" i="18"/>
  <c r="Q8" i="18"/>
  <c r="Q34" i="18" s="1"/>
  <c r="P9" i="18"/>
  <c r="Q10" i="18" l="1"/>
  <c r="Q15" i="18"/>
  <c r="Q23" i="18"/>
  <c r="Q25" i="18"/>
  <c r="Q28" i="18"/>
  <c r="Q31" i="18"/>
  <c r="Q11" i="18"/>
  <c r="Q12" i="18"/>
  <c r="Q24" i="18"/>
  <c r="Q27" i="18"/>
  <c r="Q26" i="18"/>
  <c r="Q36" i="18"/>
  <c r="Q17" i="18"/>
  <c r="Q30" i="18"/>
  <c r="Q37" i="18"/>
  <c r="Q22" i="18"/>
  <c r="Q29" i="18"/>
  <c r="Q33" i="18"/>
  <c r="Q32" i="18"/>
  <c r="Q41" i="18"/>
  <c r="Q35" i="18"/>
  <c r="Q7" i="18"/>
  <c r="R8" i="18"/>
  <c r="R34" i="18" s="1"/>
  <c r="Q9" i="18"/>
  <c r="R10" i="18" l="1"/>
  <c r="R22" i="18"/>
  <c r="R15" i="18"/>
  <c r="R27" i="18"/>
  <c r="R11" i="18"/>
  <c r="R32" i="18"/>
  <c r="R35" i="18"/>
  <c r="R26" i="18"/>
  <c r="R31" i="18"/>
  <c r="R12" i="18"/>
  <c r="R28" i="18"/>
  <c r="R36" i="18"/>
  <c r="R23" i="18"/>
  <c r="R25" i="18"/>
  <c r="R29" i="18"/>
  <c r="R33" i="18"/>
  <c r="R17" i="18"/>
  <c r="R24" i="18"/>
  <c r="R37" i="18"/>
  <c r="R30" i="18"/>
  <c r="R41" i="18"/>
  <c r="S8" i="18"/>
  <c r="S34" i="18" s="1"/>
  <c r="R9" i="18"/>
  <c r="S10" i="18" l="1"/>
  <c r="S15" i="18"/>
  <c r="S23" i="18"/>
  <c r="S25" i="18"/>
  <c r="S28" i="18"/>
  <c r="S22" i="18"/>
  <c r="S36" i="18"/>
  <c r="S33" i="18"/>
  <c r="S11" i="18"/>
  <c r="S32" i="18"/>
  <c r="S35" i="18"/>
  <c r="S26" i="18"/>
  <c r="S31" i="18"/>
  <c r="S12" i="18"/>
  <c r="S17" i="18"/>
  <c r="S24" i="18"/>
  <c r="S27" i="18"/>
  <c r="S29" i="18"/>
  <c r="S37" i="18"/>
  <c r="S41" i="18"/>
  <c r="S30" i="18"/>
  <c r="T8" i="18"/>
  <c r="T34" i="18" s="1"/>
  <c r="S9" i="18"/>
  <c r="T10" i="18" l="1"/>
  <c r="T17" i="18"/>
  <c r="T22" i="18"/>
  <c r="T26" i="18"/>
  <c r="T29" i="18"/>
  <c r="T32" i="18"/>
  <c r="T15" i="18"/>
  <c r="T23" i="18"/>
  <c r="T25" i="18"/>
  <c r="T28" i="18"/>
  <c r="T31" i="18"/>
  <c r="T37" i="18"/>
  <c r="T33" i="18"/>
  <c r="T11" i="18"/>
  <c r="T35" i="18"/>
  <c r="T36" i="18"/>
  <c r="T24" i="18"/>
  <c r="T12" i="18"/>
  <c r="T27" i="18"/>
  <c r="T30" i="18"/>
  <c r="T41" i="18"/>
  <c r="U8" i="18"/>
  <c r="U34" i="18" s="1"/>
  <c r="T9" i="18"/>
  <c r="U10" i="18" l="1"/>
  <c r="U17" i="18"/>
  <c r="U22" i="18"/>
  <c r="U26" i="18"/>
  <c r="U29" i="18"/>
  <c r="U32" i="18"/>
  <c r="U36" i="18"/>
  <c r="U15" i="18"/>
  <c r="U23" i="18"/>
  <c r="U25" i="18"/>
  <c r="U33" i="18"/>
  <c r="U11" i="18"/>
  <c r="U28" i="18"/>
  <c r="U31" i="18"/>
  <c r="U35" i="18"/>
  <c r="U12" i="18"/>
  <c r="U30" i="18"/>
  <c r="U24" i="18"/>
  <c r="U37" i="18"/>
  <c r="U27" i="18"/>
  <c r="U41" i="18"/>
  <c r="U9" i="18"/>
  <c r="V8" i="18"/>
  <c r="V34" i="18" s="1"/>
  <c r="V10" i="18" l="1"/>
  <c r="V17" i="18"/>
  <c r="V33" i="18"/>
  <c r="V15" i="18"/>
  <c r="V22" i="18"/>
  <c r="V29" i="18"/>
  <c r="V32" i="18"/>
  <c r="V26" i="18"/>
  <c r="V11" i="18"/>
  <c r="V35" i="18"/>
  <c r="V24" i="18"/>
  <c r="V25" i="18"/>
  <c r="V27" i="18"/>
  <c r="V37" i="18"/>
  <c r="V23" i="18"/>
  <c r="V28" i="18"/>
  <c r="V12" i="18"/>
  <c r="V31" i="18"/>
  <c r="V30" i="18"/>
  <c r="V41" i="18"/>
  <c r="V36" i="18"/>
  <c r="W8" i="18"/>
  <c r="W34" i="18" s="1"/>
  <c r="V9" i="18"/>
  <c r="W10" i="18" l="1"/>
  <c r="W17" i="18"/>
  <c r="W22" i="18"/>
  <c r="W26" i="18"/>
  <c r="W29" i="18"/>
  <c r="W24" i="18"/>
  <c r="W31" i="18"/>
  <c r="W33" i="18"/>
  <c r="W25" i="18"/>
  <c r="W41" i="18"/>
  <c r="W32" i="18"/>
  <c r="W15" i="18"/>
  <c r="W11" i="18"/>
  <c r="W23" i="18"/>
  <c r="W28" i="18"/>
  <c r="W12" i="18"/>
  <c r="W37" i="18"/>
  <c r="W35" i="18"/>
  <c r="W30" i="18"/>
  <c r="W36" i="18"/>
  <c r="W27" i="18"/>
  <c r="X8" i="18"/>
  <c r="X34" i="18" s="1"/>
  <c r="W9" i="18"/>
  <c r="X10" i="18" l="1"/>
  <c r="X11" i="18"/>
  <c r="X12" i="18"/>
  <c r="X24" i="18"/>
  <c r="X27" i="18"/>
  <c r="X30" i="18"/>
  <c r="X33" i="18"/>
  <c r="X17" i="18"/>
  <c r="X22" i="18"/>
  <c r="X26" i="18"/>
  <c r="X29" i="18"/>
  <c r="X32" i="18"/>
  <c r="X31" i="18"/>
  <c r="X41" i="18"/>
  <c r="X25" i="18"/>
  <c r="X37" i="18"/>
  <c r="X35" i="18"/>
  <c r="X36" i="18"/>
  <c r="X23" i="18"/>
  <c r="X28" i="18"/>
  <c r="X15" i="18"/>
  <c r="X7" i="18"/>
  <c r="X9" i="18"/>
  <c r="Y8" i="18"/>
  <c r="Y34" i="18" s="1"/>
  <c r="Y10" i="18" l="1"/>
  <c r="Y11" i="18"/>
  <c r="Y12" i="18"/>
  <c r="Y24" i="18"/>
  <c r="Y27" i="18"/>
  <c r="Y30" i="18"/>
  <c r="Y33" i="18"/>
  <c r="Y17" i="18"/>
  <c r="Y22" i="18"/>
  <c r="Y26" i="18"/>
  <c r="Y29" i="18"/>
  <c r="Y41" i="18"/>
  <c r="Y25" i="18"/>
  <c r="Y15" i="18"/>
  <c r="Y23" i="18"/>
  <c r="Y28" i="18"/>
  <c r="Y37" i="18"/>
  <c r="Y35" i="18"/>
  <c r="Y32" i="18"/>
  <c r="Y36" i="18"/>
  <c r="Y31" i="18"/>
  <c r="Y9" i="18"/>
  <c r="Z8" i="18"/>
  <c r="Z34" i="18" s="1"/>
  <c r="AA8" i="18" l="1"/>
  <c r="AA34" i="18" s="1"/>
  <c r="Z10" i="18"/>
  <c r="Z17" i="18"/>
  <c r="Z24" i="18"/>
  <c r="Z27" i="18"/>
  <c r="Z29" i="18"/>
  <c r="Z41" i="18"/>
  <c r="Z25" i="18"/>
  <c r="Z33" i="18"/>
  <c r="Z11" i="18"/>
  <c r="Z12" i="18"/>
  <c r="Z23" i="18"/>
  <c r="Z28" i="18"/>
  <c r="Z37" i="18"/>
  <c r="Z26" i="18"/>
  <c r="Z32" i="18"/>
  <c r="Z36" i="18"/>
  <c r="Z30" i="18"/>
  <c r="Z15" i="18"/>
  <c r="Z31" i="18"/>
  <c r="Z35" i="18"/>
  <c r="Z22" i="18"/>
  <c r="Z9" i="18"/>
  <c r="AA28" i="18" l="1"/>
  <c r="AA15" i="18"/>
  <c r="AA29" i="18"/>
  <c r="AA9" i="18"/>
  <c r="AA32" i="18"/>
  <c r="AA27" i="18"/>
  <c r="AA23" i="18"/>
  <c r="AA26" i="18"/>
  <c r="AA41" i="18"/>
  <c r="AA36" i="18"/>
  <c r="AA37" i="18"/>
  <c r="AB8" i="18"/>
  <c r="AB34" i="18" s="1"/>
  <c r="AA33" i="18"/>
  <c r="AA17" i="18"/>
  <c r="AA30" i="18"/>
  <c r="AA35" i="18"/>
  <c r="AA31" i="18"/>
  <c r="AA24" i="18"/>
  <c r="AA25" i="18"/>
  <c r="AA12" i="18"/>
  <c r="AA11" i="18"/>
  <c r="AA22" i="18"/>
  <c r="AA10" i="18"/>
  <c r="AB23" i="18" l="1"/>
  <c r="AB22" i="18"/>
  <c r="AB35" i="18"/>
  <c r="AB10" i="18"/>
  <c r="AB33" i="18"/>
  <c r="AB30" i="18"/>
  <c r="AB27" i="18"/>
  <c r="AB26" i="18"/>
  <c r="AB36" i="18"/>
  <c r="AB11" i="18"/>
  <c r="AB17" i="18"/>
  <c r="AB29" i="18"/>
  <c r="AC8" i="18"/>
  <c r="AC34" i="18" s="1"/>
  <c r="AB9" i="18"/>
  <c r="AB24" i="18"/>
  <c r="AB12" i="18"/>
  <c r="AB32" i="18"/>
  <c r="AB31" i="18"/>
  <c r="AB28" i="18"/>
  <c r="AB41" i="18"/>
  <c r="AB25" i="18"/>
  <c r="AB37" i="18"/>
  <c r="AB15" i="18"/>
  <c r="AC23" i="18" l="1"/>
  <c r="AC36" i="18"/>
  <c r="AC26" i="18"/>
  <c r="AC31" i="18"/>
  <c r="AC15" i="18"/>
  <c r="AC41" i="18"/>
  <c r="AC22" i="18"/>
  <c r="AC17" i="18"/>
  <c r="AC28" i="18"/>
  <c r="AC25" i="18"/>
  <c r="AD8" i="18"/>
  <c r="AD34" i="18" s="1"/>
  <c r="AC9" i="18"/>
  <c r="AC33" i="18"/>
  <c r="AC37" i="18"/>
  <c r="AC10" i="18"/>
  <c r="AC27" i="18"/>
  <c r="AC30" i="18"/>
  <c r="AC29" i="18"/>
  <c r="AC24" i="18"/>
  <c r="AC32" i="18"/>
  <c r="AC12" i="18"/>
  <c r="AC35" i="18"/>
  <c r="AC11" i="18"/>
  <c r="AD10" i="18" l="1"/>
  <c r="AD22" i="18"/>
  <c r="AD23" i="18"/>
  <c r="AD17" i="18"/>
  <c r="AD12" i="18"/>
  <c r="AD27" i="18"/>
  <c r="AD15" i="18"/>
  <c r="AD9" i="18"/>
  <c r="AD11" i="18"/>
  <c r="AD26" i="18"/>
  <c r="AD37" i="18"/>
  <c r="AD35" i="18"/>
  <c r="AD31" i="18"/>
  <c r="AD36" i="18"/>
  <c r="AD33" i="18"/>
  <c r="AD30" i="18"/>
  <c r="AD24" i="18"/>
  <c r="AD29" i="18"/>
  <c r="AD41" i="18"/>
  <c r="AD32" i="18"/>
  <c r="AE8" i="18"/>
  <c r="AE34" i="18" s="1"/>
  <c r="AD28" i="18"/>
  <c r="AD25" i="18"/>
  <c r="AE10" i="18" l="1"/>
  <c r="AE15" i="18"/>
  <c r="AE33" i="18"/>
  <c r="AE29" i="18"/>
  <c r="AE41" i="18"/>
  <c r="AE22" i="18"/>
  <c r="AE17" i="18"/>
  <c r="AE30" i="18"/>
  <c r="AE23" i="18"/>
  <c r="AE11" i="18"/>
  <c r="AE27" i="18"/>
  <c r="AE36" i="18"/>
  <c r="AE7" i="18"/>
  <c r="AE12" i="18"/>
  <c r="AF8" i="18"/>
  <c r="AF34" i="18" s="1"/>
  <c r="AE28" i="18"/>
  <c r="AE9" i="18"/>
  <c r="AE25" i="18"/>
  <c r="AE37" i="18"/>
  <c r="AE35" i="18"/>
  <c r="AE26" i="18"/>
  <c r="AE24" i="18"/>
  <c r="AE31" i="18"/>
  <c r="AE32" i="18"/>
  <c r="AF9" i="18" l="1"/>
  <c r="AF31" i="18"/>
  <c r="AF12" i="18"/>
  <c r="AF22" i="18"/>
  <c r="AF37" i="18"/>
  <c r="AF36" i="18"/>
  <c r="AF11" i="18"/>
  <c r="AG8" i="18"/>
  <c r="AG34" i="18" s="1"/>
  <c r="AF41" i="18"/>
  <c r="AF28" i="18"/>
  <c r="AF23" i="18"/>
  <c r="AF17" i="18"/>
  <c r="AF10" i="18"/>
  <c r="AF27" i="18"/>
  <c r="AF25" i="18"/>
  <c r="AF33" i="18"/>
  <c r="AF15" i="18"/>
  <c r="AF35" i="18"/>
  <c r="AF32" i="18"/>
  <c r="AF24" i="18"/>
  <c r="AF29" i="18"/>
  <c r="AF30" i="18"/>
  <c r="AF26" i="18"/>
  <c r="AG10" i="18" l="1"/>
  <c r="AH8" i="18"/>
  <c r="AH34" i="18" s="1"/>
  <c r="AG33" i="18"/>
  <c r="AG9" i="18"/>
  <c r="AG31" i="18"/>
  <c r="AG41" i="18"/>
  <c r="AG11" i="18"/>
  <c r="AG28" i="18"/>
  <c r="AG25" i="18"/>
  <c r="AG23" i="18"/>
  <c r="AG27" i="18"/>
  <c r="AG15" i="18"/>
  <c r="AG36" i="18"/>
  <c r="AG37" i="18"/>
  <c r="AG32" i="18"/>
  <c r="AG12" i="18"/>
  <c r="AG29" i="18"/>
  <c r="AG35" i="18"/>
  <c r="AG26" i="18"/>
  <c r="AG24" i="18"/>
  <c r="AG22" i="18"/>
  <c r="AG30" i="18"/>
  <c r="AG17" i="18"/>
  <c r="AH33" i="18" l="1"/>
  <c r="AH27" i="18"/>
  <c r="AH23" i="18"/>
  <c r="AH25" i="18"/>
  <c r="AH9" i="18"/>
  <c r="AH35" i="18"/>
  <c r="AH31" i="18"/>
  <c r="AH36" i="18"/>
  <c r="AH12" i="18"/>
  <c r="AH10" i="18"/>
  <c r="AH17" i="18"/>
  <c r="AI8" i="18"/>
  <c r="AI34" i="18" s="1"/>
  <c r="AH15" i="18"/>
  <c r="AH32" i="18"/>
  <c r="AH24" i="18"/>
  <c r="AH41" i="18"/>
  <c r="AH30" i="18"/>
  <c r="AH37" i="18"/>
  <c r="AH22" i="18"/>
  <c r="AH29" i="18"/>
  <c r="AH11" i="18"/>
  <c r="AH26" i="18"/>
  <c r="AH28" i="18"/>
  <c r="AI22" i="18" l="1"/>
  <c r="AI17" i="18"/>
  <c r="AI10" i="18"/>
  <c r="AI12" i="18"/>
  <c r="AI28" i="18"/>
  <c r="AI15" i="18"/>
  <c r="AI9" i="18"/>
  <c r="AI27" i="18"/>
  <c r="AJ8" i="18"/>
  <c r="AJ34" i="18" s="1"/>
  <c r="AI25" i="18"/>
  <c r="AI33" i="18"/>
  <c r="AI36" i="18"/>
  <c r="AI11" i="18"/>
  <c r="AI32" i="18"/>
  <c r="AI30" i="18"/>
  <c r="AI35" i="18"/>
  <c r="AI31" i="18"/>
  <c r="AI41" i="18"/>
  <c r="AI23" i="18"/>
  <c r="AI37" i="18"/>
  <c r="AI29" i="18"/>
  <c r="AI24" i="18"/>
  <c r="AI26" i="18"/>
  <c r="AJ10" i="18" l="1"/>
  <c r="AJ9" i="18"/>
  <c r="AJ15" i="18"/>
  <c r="AJ36" i="18"/>
  <c r="AJ11" i="18"/>
  <c r="AJ31" i="18"/>
  <c r="AJ41" i="18"/>
  <c r="AJ28" i="18"/>
  <c r="AJ23" i="18"/>
  <c r="AJ24" i="18"/>
  <c r="AJ12" i="18"/>
  <c r="AJ32" i="18"/>
  <c r="AJ29" i="18"/>
  <c r="AJ26" i="18"/>
  <c r="AJ30" i="18"/>
  <c r="AK8" i="18"/>
  <c r="AK34" i="18" s="1"/>
  <c r="AJ27" i="18"/>
  <c r="AJ35" i="18"/>
  <c r="AJ22" i="18"/>
  <c r="AJ37" i="18"/>
  <c r="AJ17" i="18"/>
  <c r="AJ25" i="18"/>
  <c r="AJ33" i="18"/>
  <c r="AK17" i="18" l="1"/>
  <c r="AK22" i="18"/>
  <c r="AK9" i="18"/>
  <c r="AK10" i="18"/>
  <c r="AL8" i="18"/>
  <c r="AL34" i="18" s="1"/>
  <c r="AK33" i="18"/>
  <c r="AK32" i="18"/>
  <c r="AK35" i="18"/>
  <c r="AK37" i="18"/>
  <c r="AK36" i="18"/>
  <c r="AK29" i="18"/>
  <c r="AK41" i="18"/>
  <c r="AK23" i="18"/>
  <c r="AK30" i="18"/>
  <c r="AK27" i="18"/>
  <c r="AK26" i="18"/>
  <c r="AK15" i="18"/>
  <c r="AK24" i="18"/>
  <c r="AK25" i="18"/>
  <c r="AK31" i="18"/>
  <c r="AK12" i="18"/>
  <c r="AK28" i="18"/>
  <c r="AK11" i="18"/>
  <c r="AL31" i="18" l="1"/>
  <c r="AL37" i="18"/>
  <c r="AL41" i="18"/>
  <c r="AL15" i="18"/>
  <c r="AL10" i="18"/>
  <c r="AL35" i="18"/>
  <c r="AL29" i="18"/>
  <c r="AL36" i="18"/>
  <c r="AL11" i="18"/>
  <c r="AL30" i="18"/>
  <c r="AL24" i="18"/>
  <c r="AL28" i="18"/>
  <c r="AL9" i="18"/>
  <c r="AL22" i="18"/>
  <c r="AL7" i="18"/>
  <c r="AL33" i="18"/>
  <c r="AM8" i="18"/>
  <c r="AM34" i="18" s="1"/>
  <c r="AL23" i="18"/>
  <c r="AL27" i="18"/>
  <c r="AL32" i="18"/>
  <c r="AL25" i="18"/>
  <c r="AL12" i="18"/>
  <c r="AL17" i="18"/>
  <c r="AL26" i="18"/>
  <c r="AM23" i="18" l="1"/>
  <c r="AM17" i="18"/>
  <c r="AM9" i="18"/>
  <c r="AM25" i="18"/>
  <c r="AM15" i="18"/>
  <c r="AM33" i="18"/>
  <c r="AM31" i="18"/>
  <c r="AN8" i="18"/>
  <c r="AN34" i="18" s="1"/>
  <c r="AM37" i="18"/>
  <c r="AM29" i="18"/>
  <c r="AM26" i="18"/>
  <c r="AM32" i="18"/>
  <c r="AM24" i="18"/>
  <c r="AM12" i="18"/>
  <c r="AM30" i="18"/>
  <c r="AM36" i="18"/>
  <c r="AM27" i="18"/>
  <c r="AM35" i="18"/>
  <c r="AM28" i="18"/>
  <c r="AM41" i="18"/>
  <c r="AM11" i="18"/>
  <c r="AM22" i="18"/>
  <c r="AM10" i="18"/>
  <c r="AN10" i="18" l="1"/>
  <c r="AN37" i="18"/>
  <c r="AN26" i="18"/>
  <c r="AN36" i="18"/>
  <c r="AN35" i="18"/>
  <c r="AN22" i="18"/>
  <c r="AN33" i="18"/>
  <c r="AN24" i="18"/>
  <c r="AN30" i="18"/>
  <c r="AN25" i="18"/>
  <c r="AN23" i="18"/>
  <c r="AN27" i="18"/>
  <c r="AO8" i="18"/>
  <c r="AO34" i="18" s="1"/>
  <c r="AN9" i="18"/>
  <c r="AN15" i="18"/>
  <c r="AN29" i="18"/>
  <c r="AN12" i="18"/>
  <c r="AN32" i="18"/>
  <c r="AN31" i="18"/>
  <c r="AN41" i="18"/>
  <c r="AN11" i="18"/>
  <c r="AN17" i="18"/>
  <c r="AN28" i="18"/>
  <c r="AO25" i="18" l="1"/>
  <c r="AO29" i="18"/>
  <c r="AO41" i="18"/>
  <c r="AO35" i="18"/>
  <c r="AO30" i="18"/>
  <c r="AO23" i="18"/>
  <c r="AO24" i="18"/>
  <c r="AO32" i="18"/>
  <c r="AO12" i="18"/>
  <c r="AO11" i="18"/>
  <c r="AO31" i="18"/>
  <c r="AO27" i="18"/>
  <c r="AO17" i="18"/>
  <c r="AO36" i="18"/>
  <c r="AO28" i="18"/>
  <c r="AO10" i="18"/>
  <c r="AO15" i="18"/>
  <c r="AO37" i="18"/>
  <c r="AO26" i="18"/>
  <c r="AO33" i="18"/>
  <c r="AP8" i="18"/>
  <c r="AP34" i="18" s="1"/>
  <c r="AO9" i="18"/>
  <c r="AO22" i="18"/>
  <c r="AP10" i="18" l="1"/>
  <c r="AP9" i="18"/>
  <c r="AQ8" i="18"/>
  <c r="AQ34" i="18" s="1"/>
  <c r="AP30" i="18"/>
  <c r="AP15" i="18"/>
  <c r="AP17" i="18"/>
  <c r="AP35" i="18"/>
  <c r="AP32" i="18"/>
  <c r="AP26" i="18"/>
  <c r="AP11" i="18"/>
  <c r="AP27" i="18"/>
  <c r="AP29" i="18"/>
  <c r="AP36" i="18"/>
  <c r="AP22" i="18"/>
  <c r="AP24" i="18"/>
  <c r="AP31" i="18"/>
  <c r="AP33" i="18"/>
  <c r="AP41" i="18"/>
  <c r="AP37" i="18"/>
  <c r="AP23" i="18"/>
  <c r="AP25" i="18"/>
  <c r="AP28" i="18"/>
  <c r="AP12" i="18"/>
  <c r="AQ37" i="18" l="1"/>
  <c r="AQ11" i="18"/>
  <c r="AQ30" i="18"/>
  <c r="AQ24" i="18"/>
  <c r="AQ15" i="18"/>
  <c r="AQ10" i="18"/>
  <c r="AQ22" i="18"/>
  <c r="AQ35" i="18"/>
  <c r="AQ32" i="18"/>
  <c r="AQ27" i="18"/>
  <c r="AQ17" i="18"/>
  <c r="AQ28" i="18"/>
  <c r="AQ25" i="18"/>
  <c r="AR8" i="18"/>
  <c r="AR34" i="18" s="1"/>
  <c r="AQ26" i="18"/>
  <c r="AQ9" i="18"/>
  <c r="AQ33" i="18"/>
  <c r="AQ36" i="18"/>
  <c r="AQ12" i="18"/>
  <c r="AQ41" i="18"/>
  <c r="AQ29" i="18"/>
  <c r="AQ31" i="18"/>
  <c r="AQ23" i="18"/>
  <c r="AR37" i="18" l="1"/>
  <c r="AR31" i="18"/>
  <c r="AR25" i="18"/>
  <c r="AR23" i="18"/>
  <c r="AR15" i="18"/>
  <c r="AR9" i="18"/>
  <c r="AR27" i="18"/>
  <c r="AR30" i="18"/>
  <c r="AR33" i="18"/>
  <c r="AR36" i="18"/>
  <c r="AR28" i="18"/>
  <c r="AS8" i="18"/>
  <c r="AS34" i="18" s="1"/>
  <c r="AR32" i="18"/>
  <c r="AR24" i="18"/>
  <c r="AR26" i="18"/>
  <c r="AR41" i="18"/>
  <c r="AR29" i="18"/>
  <c r="AR22" i="18"/>
  <c r="AR12" i="18"/>
  <c r="AR11" i="18"/>
  <c r="AR10" i="18"/>
  <c r="AR35" i="18"/>
  <c r="AR17" i="18"/>
  <c r="AS17" i="18" l="1"/>
  <c r="AS28" i="18"/>
  <c r="AS33" i="18"/>
  <c r="AS11" i="18"/>
  <c r="AS35" i="18"/>
  <c r="AS26" i="18"/>
  <c r="AS22" i="18"/>
  <c r="AS10" i="18"/>
  <c r="AS9" i="18"/>
  <c r="AS30" i="18"/>
  <c r="AS7" i="18"/>
  <c r="AS25" i="18"/>
  <c r="AS23" i="18"/>
  <c r="AT8" i="18"/>
  <c r="AT34" i="18" s="1"/>
  <c r="AS24" i="18"/>
  <c r="AS12" i="18"/>
  <c r="AS27" i="18"/>
  <c r="AS15" i="18"/>
  <c r="AS31" i="18"/>
  <c r="AS36" i="18"/>
  <c r="AS41" i="18"/>
  <c r="AS32" i="18"/>
  <c r="AS37" i="18"/>
  <c r="AS29" i="18"/>
  <c r="AT12" i="18" l="1"/>
  <c r="AT23" i="18"/>
  <c r="AT32" i="18"/>
  <c r="AT41" i="18"/>
  <c r="AT37" i="18"/>
  <c r="AT33" i="18"/>
  <c r="AT11" i="18"/>
  <c r="AT27" i="18"/>
  <c r="AT9" i="18"/>
  <c r="AT35" i="18"/>
  <c r="AT17" i="18"/>
  <c r="AT36" i="18"/>
  <c r="AT25" i="18"/>
  <c r="AT30" i="18"/>
  <c r="AT31" i="18"/>
  <c r="AT24" i="18"/>
  <c r="AT22" i="18"/>
  <c r="AT10" i="18"/>
  <c r="AU8" i="18"/>
  <c r="AU34" i="18" s="1"/>
  <c r="AT26" i="18"/>
  <c r="AT29" i="18"/>
  <c r="AT28" i="18"/>
  <c r="AT15" i="18"/>
  <c r="AU30" i="18" l="1"/>
  <c r="AU26" i="18"/>
  <c r="AU22" i="18"/>
  <c r="AU17" i="18"/>
  <c r="AU37" i="18"/>
  <c r="AU33" i="18"/>
  <c r="AU28" i="18"/>
  <c r="AU29" i="18"/>
  <c r="AU24" i="18"/>
  <c r="AU31" i="18"/>
  <c r="AU41" i="18"/>
  <c r="AU10" i="18"/>
  <c r="AU35" i="18"/>
  <c r="AU15" i="18"/>
  <c r="AU36" i="18"/>
  <c r="AU9" i="18"/>
  <c r="AU27" i="18"/>
  <c r="AV8" i="18"/>
  <c r="AV34" i="18" s="1"/>
  <c r="AU25" i="18"/>
  <c r="AU23" i="18"/>
  <c r="AU32" i="18"/>
  <c r="AU11" i="18"/>
  <c r="AU12" i="18"/>
  <c r="AV10" i="18" l="1"/>
  <c r="AW8" i="18"/>
  <c r="AW34" i="18" s="1"/>
  <c r="AV9" i="18"/>
  <c r="AV35" i="18"/>
  <c r="AV28" i="18"/>
  <c r="AV41" i="18"/>
  <c r="AV31" i="18"/>
  <c r="AV32" i="18"/>
  <c r="AV29" i="18"/>
  <c r="AV26" i="18"/>
  <c r="AV22" i="18"/>
  <c r="AV17" i="18"/>
  <c r="AV33" i="18"/>
  <c r="AV37" i="18"/>
  <c r="AV30" i="18"/>
  <c r="AV23" i="18"/>
  <c r="AV27" i="18"/>
  <c r="AV15" i="18"/>
  <c r="AV24" i="18"/>
  <c r="AV36" i="18"/>
  <c r="AV12" i="18"/>
  <c r="AV25" i="18"/>
  <c r="AV11" i="18"/>
  <c r="AW30" i="18" l="1"/>
  <c r="AW35" i="18"/>
  <c r="AW37" i="18"/>
  <c r="AW31" i="18"/>
  <c r="AW33" i="18"/>
  <c r="AW15" i="18"/>
  <c r="AW24" i="18"/>
  <c r="AW26" i="18"/>
  <c r="AW32" i="18"/>
  <c r="AW28" i="18"/>
  <c r="AW10" i="18"/>
  <c r="AW25" i="18"/>
  <c r="AW29" i="18"/>
  <c r="AW9" i="18"/>
  <c r="AW22" i="18"/>
  <c r="AX8" i="18"/>
  <c r="AX34" i="18" s="1"/>
  <c r="AW17" i="18"/>
  <c r="AW27" i="18"/>
  <c r="AW23" i="18"/>
  <c r="AW41" i="18"/>
  <c r="AW12" i="18"/>
  <c r="AW36" i="18"/>
  <c r="AW11" i="18"/>
  <c r="AX9" i="18" l="1"/>
  <c r="AX41" i="18"/>
  <c r="AX23" i="18"/>
  <c r="AX35" i="18"/>
  <c r="AY8" i="18"/>
  <c r="AY34" i="18" s="1"/>
  <c r="AX15" i="18"/>
  <c r="AX29" i="18"/>
  <c r="AX28" i="18"/>
  <c r="AX31" i="18"/>
  <c r="AX25" i="18"/>
  <c r="AX37" i="18"/>
  <c r="AX30" i="18"/>
  <c r="AX26" i="18"/>
  <c r="AX33" i="18"/>
  <c r="AX10" i="18"/>
  <c r="AX12" i="18"/>
  <c r="AX32" i="18"/>
  <c r="AX36" i="18"/>
  <c r="AX11" i="18"/>
  <c r="AX22" i="18"/>
  <c r="AX17" i="18"/>
  <c r="AX24" i="18"/>
  <c r="AX27" i="18"/>
  <c r="AY10" i="18" l="1"/>
  <c r="AY9" i="18"/>
  <c r="AZ8" i="18"/>
  <c r="AZ34" i="18" s="1"/>
  <c r="AY33" i="18"/>
  <c r="AY28" i="18"/>
  <c r="AY23" i="18"/>
  <c r="AY36" i="18"/>
  <c r="AY17" i="18"/>
  <c r="AY26" i="18"/>
  <c r="AY22" i="18"/>
  <c r="AY29" i="18"/>
  <c r="AY41" i="18"/>
  <c r="AY37" i="18"/>
  <c r="AY25" i="18"/>
  <c r="AY35" i="18"/>
  <c r="AY30" i="18"/>
  <c r="AY32" i="18"/>
  <c r="AY24" i="18"/>
  <c r="AY15" i="18"/>
  <c r="AY11" i="18"/>
  <c r="AY31" i="18"/>
  <c r="AY27" i="18"/>
  <c r="AY12" i="18"/>
  <c r="AZ11" i="18" l="1"/>
  <c r="AZ7" i="18"/>
  <c r="AZ29" i="18"/>
  <c r="AZ15" i="18"/>
  <c r="AZ26" i="18"/>
  <c r="AZ41" i="18"/>
  <c r="AZ28" i="18"/>
  <c r="AZ35" i="18"/>
  <c r="AZ33" i="18"/>
  <c r="AZ37" i="18"/>
  <c r="AZ27" i="18"/>
  <c r="AZ22" i="18"/>
  <c r="AZ10" i="18"/>
  <c r="AZ30" i="18"/>
  <c r="AZ9" i="18"/>
  <c r="AZ24" i="18"/>
  <c r="BA8" i="18"/>
  <c r="BA34" i="18" s="1"/>
  <c r="AZ12" i="18"/>
  <c r="AZ32" i="18"/>
  <c r="AZ25" i="18"/>
  <c r="AZ36" i="18"/>
  <c r="AZ31" i="18"/>
  <c r="AZ17" i="18"/>
  <c r="AZ23" i="18"/>
  <c r="BA27" i="18" l="1"/>
  <c r="BA26" i="18"/>
  <c r="BA12" i="18"/>
  <c r="BA41" i="18"/>
  <c r="BA9" i="18"/>
  <c r="BA36" i="18"/>
  <c r="BA22" i="18"/>
  <c r="BA29" i="18"/>
  <c r="BA37" i="18"/>
  <c r="BA31" i="18"/>
  <c r="BA15" i="18"/>
  <c r="BB8" i="18"/>
  <c r="BB34" i="18" s="1"/>
  <c r="BA10" i="18"/>
  <c r="BA32" i="18"/>
  <c r="BA24" i="18"/>
  <c r="BA17" i="18"/>
  <c r="BA11" i="18"/>
  <c r="BA35" i="18"/>
  <c r="BA28" i="18"/>
  <c r="BA30" i="18"/>
  <c r="BA25" i="18"/>
  <c r="BA33" i="18"/>
  <c r="BA23" i="18"/>
  <c r="BB23" i="18" l="1"/>
  <c r="BB11" i="18"/>
  <c r="BB26" i="18"/>
  <c r="BB28" i="18"/>
  <c r="BB24" i="18"/>
  <c r="BB10" i="18"/>
  <c r="BB32" i="18"/>
  <c r="BB35" i="18"/>
  <c r="BB29" i="18"/>
  <c r="BB36" i="18"/>
  <c r="BB37" i="18"/>
  <c r="BB31" i="18"/>
  <c r="BB17" i="18"/>
  <c r="BC8" i="18"/>
  <c r="BC34" i="18" s="1"/>
  <c r="BB15" i="18"/>
  <c r="BB9" i="18"/>
  <c r="BB25" i="18"/>
  <c r="BB41" i="18"/>
  <c r="BB30" i="18"/>
  <c r="BB22" i="18"/>
  <c r="BB12" i="18"/>
  <c r="BB33" i="18"/>
  <c r="BB27" i="18"/>
  <c r="BC36" i="18" l="1"/>
  <c r="BC26" i="18"/>
  <c r="BC25" i="18"/>
  <c r="BC17" i="18"/>
  <c r="BC23" i="18"/>
  <c r="BC10" i="18"/>
  <c r="BC15" i="18"/>
  <c r="BC27" i="18"/>
  <c r="BC37" i="18"/>
  <c r="BD8" i="18"/>
  <c r="BD34" i="18" s="1"/>
  <c r="BC30" i="18"/>
  <c r="BC9" i="18"/>
  <c r="BC32" i="18"/>
  <c r="BC29" i="18"/>
  <c r="BC41" i="18"/>
  <c r="BC24" i="18"/>
  <c r="BC22" i="18"/>
  <c r="BC11" i="18"/>
  <c r="BC35" i="18"/>
  <c r="BC33" i="18"/>
  <c r="BC12" i="18"/>
  <c r="BC31" i="18"/>
  <c r="BC28" i="18"/>
  <c r="BD10" i="18"/>
  <c r="BD17" i="18" l="1"/>
  <c r="BD26" i="18"/>
  <c r="BD22" i="18"/>
  <c r="BE8" i="18"/>
  <c r="BE34" i="18" s="1"/>
  <c r="BD12" i="18"/>
  <c r="BD29" i="18"/>
  <c r="BD24" i="18"/>
  <c r="BD11" i="18"/>
  <c r="BD30" i="18"/>
  <c r="BD37" i="18"/>
  <c r="BD31" i="18"/>
  <c r="BD33" i="18"/>
  <c r="BD23" i="18"/>
  <c r="BD27" i="18"/>
  <c r="BD9" i="18"/>
  <c r="BD28" i="18"/>
  <c r="BD41" i="18"/>
  <c r="BD25" i="18"/>
  <c r="BD35" i="18"/>
  <c r="BD15" i="18"/>
  <c r="BD36" i="18"/>
  <c r="BD32" i="18"/>
  <c r="BE32" i="18" l="1"/>
  <c r="BE28" i="18"/>
  <c r="BE27" i="18"/>
  <c r="BE26" i="18"/>
  <c r="BE24" i="18"/>
  <c r="BE10" i="18"/>
  <c r="BE35" i="18"/>
  <c r="BE31" i="18"/>
  <c r="BE37" i="18"/>
  <c r="BE22" i="18"/>
  <c r="BE30" i="18"/>
  <c r="BE9" i="18"/>
  <c r="BE25" i="18"/>
  <c r="BE11" i="18"/>
  <c r="BE17" i="18"/>
  <c r="BF8" i="18"/>
  <c r="BF34" i="18" s="1"/>
  <c r="BE12" i="18"/>
  <c r="BE23" i="18"/>
  <c r="BE41" i="18"/>
  <c r="BE15" i="18"/>
  <c r="BE33" i="18"/>
  <c r="BE36" i="18"/>
  <c r="BE29" i="18"/>
  <c r="BF10" i="18" l="1"/>
  <c r="BF9" i="18"/>
  <c r="BF12" i="18"/>
  <c r="BF41" i="18"/>
  <c r="BF22" i="18"/>
  <c r="BF23" i="18"/>
  <c r="BF37" i="18"/>
  <c r="BF15" i="18"/>
  <c r="BF30" i="18"/>
  <c r="BF17" i="18"/>
  <c r="BF36" i="18"/>
  <c r="BF29" i="18"/>
  <c r="BF26" i="18"/>
  <c r="BF35" i="18"/>
  <c r="BG8" i="18"/>
  <c r="BG34" i="18" s="1"/>
  <c r="BF32" i="18"/>
  <c r="BF11" i="18"/>
  <c r="BF24" i="18"/>
  <c r="BF31" i="18"/>
  <c r="BF27" i="18"/>
  <c r="BF33" i="18"/>
  <c r="BF25" i="18"/>
  <c r="BF28" i="18"/>
  <c r="BG7" i="18" l="1"/>
  <c r="BG9" i="18"/>
  <c r="BG25" i="18"/>
  <c r="BG41" i="18"/>
  <c r="BG35" i="18"/>
  <c r="BG32" i="18"/>
  <c r="BG31" i="18"/>
  <c r="BG33" i="18"/>
  <c r="BG28" i="18"/>
  <c r="BG23" i="18"/>
  <c r="BG36" i="18"/>
  <c r="BH8" i="18"/>
  <c r="BH34" i="18" s="1"/>
  <c r="BG30" i="18"/>
  <c r="BG15" i="18"/>
  <c r="BG24" i="18"/>
  <c r="BG29" i="18"/>
  <c r="BG11" i="18"/>
  <c r="BG10" i="18"/>
  <c r="BG37" i="18"/>
  <c r="BG26" i="18"/>
  <c r="BG12" i="18"/>
  <c r="BG17" i="18"/>
  <c r="BG27" i="18"/>
  <c r="BG22" i="18"/>
  <c r="BH30" i="18" l="1"/>
  <c r="BH33" i="18"/>
  <c r="BH36" i="18"/>
  <c r="BH17" i="18"/>
  <c r="BH27" i="18"/>
  <c r="BH25" i="18"/>
  <c r="BH37" i="18"/>
  <c r="BH35" i="18"/>
  <c r="BH31" i="18"/>
  <c r="BH11" i="18"/>
  <c r="BH23" i="18"/>
  <c r="BH24" i="18"/>
  <c r="BH12" i="18"/>
  <c r="BH28" i="18"/>
  <c r="BH10" i="18"/>
  <c r="BH41" i="18"/>
  <c r="BH15" i="18"/>
  <c r="BH32" i="18"/>
  <c r="BI8" i="18"/>
  <c r="BI34" i="18" s="1"/>
  <c r="BH29" i="18"/>
  <c r="BH9" i="18"/>
  <c r="BH26" i="18"/>
  <c r="BH22" i="18"/>
  <c r="BI15" i="18"/>
  <c r="BI36" i="18" l="1"/>
  <c r="BI28" i="18"/>
  <c r="BI17" i="18"/>
  <c r="BI30" i="18"/>
  <c r="BI9" i="18"/>
  <c r="BI22" i="18"/>
  <c r="BJ8" i="18"/>
  <c r="BJ34" i="18" s="1"/>
  <c r="BI23" i="18"/>
  <c r="BI33" i="18"/>
  <c r="BI31" i="18"/>
  <c r="BI37" i="18"/>
  <c r="BI27" i="18"/>
  <c r="BI41" i="18"/>
  <c r="BI24" i="18"/>
  <c r="BI29" i="18"/>
  <c r="BI12" i="18"/>
  <c r="BI26" i="18"/>
  <c r="BI35" i="18"/>
  <c r="BI25" i="18"/>
  <c r="BI11" i="18"/>
  <c r="BI32" i="18"/>
  <c r="BI10" i="18"/>
  <c r="BJ10" i="18"/>
  <c r="BJ22" i="18"/>
  <c r="BJ26" i="18" l="1"/>
  <c r="BJ23" i="18"/>
  <c r="BJ28" i="18"/>
  <c r="BJ31" i="18"/>
  <c r="BJ15" i="18"/>
  <c r="BJ33" i="18"/>
  <c r="BJ30" i="18"/>
  <c r="BJ41" i="18"/>
  <c r="BJ11" i="18"/>
  <c r="BJ12" i="18"/>
  <c r="BJ29" i="18"/>
  <c r="BK8" i="18"/>
  <c r="BK34" i="18" s="1"/>
  <c r="BJ35" i="18"/>
  <c r="BJ9" i="18"/>
  <c r="BJ37" i="18"/>
  <c r="BJ27" i="18"/>
  <c r="BJ36" i="18"/>
  <c r="BJ17" i="18"/>
  <c r="BJ25" i="18"/>
  <c r="BJ32" i="18"/>
  <c r="BJ24" i="18"/>
  <c r="BK22" i="18" l="1"/>
  <c r="BK32" i="18"/>
  <c r="BK30" i="18"/>
  <c r="BK27" i="18"/>
  <c r="BL8" i="18"/>
  <c r="BL34" i="18" s="1"/>
  <c r="BK29" i="18"/>
  <c r="BK37" i="18"/>
  <c r="BK41" i="18"/>
  <c r="BK23" i="18"/>
  <c r="BK24" i="18"/>
  <c r="BK31" i="18"/>
  <c r="BK17" i="18"/>
  <c r="BK15" i="18"/>
  <c r="BK35" i="18"/>
  <c r="BK12" i="18"/>
  <c r="BK25" i="18"/>
  <c r="BK28" i="18"/>
  <c r="BK11" i="18"/>
  <c r="BK36" i="18"/>
  <c r="BK10" i="18"/>
  <c r="BK33" i="18"/>
  <c r="BK9" i="18"/>
  <c r="BK26" i="18"/>
  <c r="BL10" i="18" l="1"/>
  <c r="BL9" i="18"/>
  <c r="BM8" i="18"/>
  <c r="BM34" i="18" s="1"/>
  <c r="BL41" i="18"/>
  <c r="BL35" i="18"/>
  <c r="BL32" i="18"/>
  <c r="BL17" i="18"/>
  <c r="BL33" i="18"/>
  <c r="BL30" i="18"/>
  <c r="BL27" i="18"/>
  <c r="BL24" i="18"/>
  <c r="BL12" i="18"/>
  <c r="BL36" i="18"/>
  <c r="BL11" i="18"/>
  <c r="BL37" i="18"/>
  <c r="BL31" i="18"/>
  <c r="BL26" i="18"/>
  <c r="BL23" i="18"/>
  <c r="BL15" i="18"/>
  <c r="BL22" i="18"/>
  <c r="BL28" i="18"/>
  <c r="BL29" i="18"/>
  <c r="BL25" i="18"/>
  <c r="BM15" i="18" l="1"/>
  <c r="BM10" i="18"/>
  <c r="BM32" i="18"/>
  <c r="BM35" i="18"/>
  <c r="BM41" i="18"/>
  <c r="BM27" i="18"/>
  <c r="BM36" i="18"/>
  <c r="BM22" i="18"/>
  <c r="BM30" i="18"/>
  <c r="BM17" i="18"/>
  <c r="BM29" i="18"/>
  <c r="BM24" i="18"/>
  <c r="BM12" i="18"/>
  <c r="BM9" i="18"/>
  <c r="BM11" i="18"/>
  <c r="BM33" i="18"/>
  <c r="BM31" i="18"/>
  <c r="BM28" i="18"/>
  <c r="BM37" i="18"/>
  <c r="BM25" i="18"/>
  <c r="BM26" i="18"/>
  <c r="BM23" i="18"/>
</calcChain>
</file>

<file path=xl/sharedStrings.xml><?xml version="1.0" encoding="utf-8"?>
<sst xmlns="http://schemas.openxmlformats.org/spreadsheetml/2006/main" count="147" uniqueCount="106">
  <si>
    <t>Migração Sensedia - Kong</t>
  </si>
  <si>
    <t>Pottencial Seguradora</t>
  </si>
  <si>
    <t>Líder</t>
  </si>
  <si>
    <t>Daniel Silva</t>
  </si>
  <si>
    <t>Data de Início:</t>
  </si>
  <si>
    <t>Prazo:</t>
  </si>
  <si>
    <t>Incremento de Rolagem:</t>
  </si>
  <si>
    <t>Progresso Geral:</t>
  </si>
  <si>
    <t>Atividade</t>
  </si>
  <si>
    <t>Categoria</t>
  </si>
  <si>
    <t>Responsável</t>
  </si>
  <si>
    <t>Progresso</t>
  </si>
  <si>
    <t>Início</t>
  </si>
  <si>
    <t>Dias</t>
  </si>
  <si>
    <t>Dias Úteis</t>
  </si>
  <si>
    <t>Planejamento</t>
  </si>
  <si>
    <t>Enablers</t>
  </si>
  <si>
    <t>Aquisição</t>
  </si>
  <si>
    <t>Provisionamento</t>
  </si>
  <si>
    <t>Perceptiva</t>
  </si>
  <si>
    <t>Parametrizações de Segurança</t>
  </si>
  <si>
    <t>Gestão de Acessos</t>
  </si>
  <si>
    <t>Acessos Konnect, rede e DNS</t>
  </si>
  <si>
    <t>Cloud Solutions</t>
  </si>
  <si>
    <t>Kick-off</t>
  </si>
  <si>
    <t>Repositório SCM e estratégia decK/Terraform</t>
  </si>
  <si>
    <t>Treinamento Essencial para Desenvolvedores</t>
  </si>
  <si>
    <t>Treinamento para QAs</t>
  </si>
  <si>
    <t>Treinamento para SREs</t>
  </si>
  <si>
    <t>Treinamento para Segurança e Gestão de Acesso</t>
  </si>
  <si>
    <t>Treinamento para o time de Monitoramento</t>
  </si>
  <si>
    <t>Integrar o Kong com o Datadog da Pottencial</t>
  </si>
  <si>
    <t>Implementar Cache de Tokens na CloudFlare</t>
  </si>
  <si>
    <t>Mecanismos e/ou dashboards de Monitoramento</t>
  </si>
  <si>
    <t>Monitoramento</t>
  </si>
  <si>
    <t>Migração de consumers (contas das corretoras)</t>
  </si>
  <si>
    <t>Configuração de Plugins e Interceptors</t>
  </si>
  <si>
    <t>Migração das APIs e seus endpoints - 1/2</t>
  </si>
  <si>
    <t>Componentes Estruturais</t>
  </si>
  <si>
    <t>Migração das APIs e seus endpoints - 2/2</t>
  </si>
  <si>
    <t>Conversão de Scripts Customizados JS - Lua - 1/2</t>
  </si>
  <si>
    <t>Conversão de Scripts Customizados JS - Lua - 2/2</t>
  </si>
  <si>
    <t>Automação de deploy</t>
  </si>
  <si>
    <t>Homologação Funcional Integrada</t>
  </si>
  <si>
    <t>QA</t>
  </si>
  <si>
    <t>Go-live e Rollout</t>
  </si>
  <si>
    <t>Independência do Sensedia</t>
  </si>
  <si>
    <t>Marco</t>
  </si>
  <si>
    <t>Dev Portal</t>
  </si>
  <si>
    <t>Dead line Sensedia</t>
  </si>
  <si>
    <t>Treinamento atendimento e onboarding corretoras</t>
  </si>
  <si>
    <t>Treinamento para coordenadores de engenharia</t>
  </si>
  <si>
    <t>Treinamento Avançado para Desenvolvedores</t>
  </si>
  <si>
    <t>Playbook Kong (desenvolvimento e operação)</t>
  </si>
  <si>
    <t>Reunião de Encerramento</t>
  </si>
  <si>
    <t>Objetivo</t>
  </si>
  <si>
    <t>Data</t>
  </si>
  <si>
    <t>Feriado</t>
  </si>
  <si>
    <t>Confraternização Universal</t>
  </si>
  <si>
    <t>Sexta‑feira Santa (Paixão de Cristo)</t>
  </si>
  <si>
    <t>Tiradentes</t>
  </si>
  <si>
    <t>Dia do Trabalhador</t>
  </si>
  <si>
    <t>Assunção de Nossa Senhora (BH – municipal)</t>
  </si>
  <si>
    <t>Independência do Brasil</t>
  </si>
  <si>
    <t>Nossa Senhora Aparecida</t>
  </si>
  <si>
    <t>Dia do Securitário</t>
  </si>
  <si>
    <t>Finados</t>
  </si>
  <si>
    <t>Proclamação da República</t>
  </si>
  <si>
    <t>Dia da Consciência Negra</t>
  </si>
  <si>
    <t>Imaculada Conceição (BH – municipal)</t>
  </si>
  <si>
    <t>Natal</t>
  </si>
  <si>
    <t>Rótulos de Linha</t>
  </si>
  <si>
    <t>Soma de Dias Úteis</t>
  </si>
  <si>
    <t>Total Geral</t>
  </si>
  <si>
    <t>Contratado</t>
  </si>
  <si>
    <t>Horas da Perceptiva</t>
  </si>
  <si>
    <t>Diferença</t>
  </si>
  <si>
    <t>Enviar material/documentação de conectividade para análise</t>
  </si>
  <si>
    <t>Ricardo</t>
  </si>
  <si>
    <t>Analisar material de conectividade e revisar estimativa de tempo</t>
  </si>
  <si>
    <t>Juliano Caldeira</t>
  </si>
  <si>
    <t>Enviar ao Ricardo exemplo detalhado dos consumers, propriedades adicionais e permissões de acesso</t>
  </si>
  <si>
    <t>Preparar proposta/conteúdo do treinamento inicial customizado para devs</t>
  </si>
  <si>
    <t>Revisar/aprovar conteúdo do treinamento e agendar início</t>
  </si>
  <si>
    <t>Provisionar os 3 ambientes Kong</t>
  </si>
  <si>
    <t>Subir enterprise application e liberar acessos/autenticação integrada nos 3 ambientes</t>
  </si>
  <si>
    <t>Naiara Lima</t>
  </si>
  <si>
    <t>Alinhar time de monitoramento e colocar especialista em contato com Ricardo</t>
  </si>
  <si>
    <t>Enviar contexto/documentação da arquitetura de monitoramento atual</t>
  </si>
  <si>
    <t>Ajustar cronograma, dependências, horas e gantt e reenviar versão atualizada</t>
  </si>
  <si>
    <t>Revisar tarefas do cronograma e devolver estimativas até o fim do dia</t>
  </si>
  <si>
    <t>Cada responsável</t>
  </si>
  <si>
    <t>Escolher API/contexto menos crítico para início do rollout em produção</t>
  </si>
  <si>
    <t>Finalizar respostas pendentes da avaliação de privacidade e segurança no Trust</t>
  </si>
  <si>
    <t>Tarefa</t>
  </si>
  <si>
    <t>Prazo</t>
  </si>
  <si>
    <t>Status</t>
  </si>
  <si>
    <t>Observações</t>
  </si>
  <si>
    <t>Henry</t>
  </si>
  <si>
    <t>Davi Lacerda</t>
  </si>
  <si>
    <t>Em andamento</t>
  </si>
  <si>
    <t>Abrir cards no Azure Boards</t>
  </si>
  <si>
    <t>Bruna Alves</t>
  </si>
  <si>
    <t>Revisar se o item de automação/deploy/configuração ainda faz sentido</t>
  </si>
  <si>
    <t>Henry + Filipe Bitencourt</t>
  </si>
  <si>
    <t>Fernando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</si>
</sst>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2" formatCode="_-&quot;R$&quot;\ * #,##0_-;\-&quot;R$&quot;\ * #,##0_-;_-&quot;R$&quot;\ * &quot;-&quot;_-;_-@_-"/>
    <numFmt numFmtId="44" formatCode="_-&quot;R$&quot;\ * #,##0.00_-;\-&quot;R$&quot;\ * #,##0.00_-;_-&quot;R$&quot;\ * &quot;-&quot;??_-;_-@_-"/>
    <numFmt numFmtId="164" formatCode="_(* #,##0.00_);_(* \(#,##0.00\);_(* &quot;-&quot;??_);_(@_)"/>
    <numFmt numFmtId="165" formatCode="#,##0_ ;\-#,##0\ "/>
    <numFmt numFmtId="166" formatCode="d"/>
    <numFmt numFmtId="167" formatCode="dd/mm/yy;@"/>
    <numFmt numFmtId="168" formatCode="0.0"/>
  </numFmts>
  <fonts count="31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indexed="12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theme="1" tint="0.34998626667073579"/>
      <name val="Calibri"/>
      <family val="2"/>
      <scheme val="major"/>
    </font>
    <font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4"/>
      <name val="Calibri"/>
      <family val="2"/>
      <scheme val="minor"/>
    </font>
    <font>
      <sz val="16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0"/>
      <name val="Calibri"/>
      <family val="2"/>
      <scheme val="major"/>
    </font>
    <font>
      <b/>
      <sz val="22"/>
      <name val="Calibri"/>
      <family val="2"/>
      <scheme val="major"/>
    </font>
    <font>
      <sz val="14"/>
      <color theme="0"/>
      <name val="Calibri"/>
      <family val="2"/>
      <scheme val="minor"/>
    </font>
    <font>
      <b/>
      <sz val="26"/>
      <color theme="0"/>
      <name val="Calibri"/>
      <family val="2"/>
      <scheme val="major"/>
    </font>
    <font>
      <b/>
      <sz val="16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6522"/>
        <bgColor indexed="64"/>
      </patternFill>
    </fill>
    <fill>
      <patternFill patternType="solid">
        <fgColor theme="2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499984740745262"/>
      </top>
      <bottom/>
      <diagonal/>
    </border>
    <border>
      <left/>
      <right style="thin">
        <color theme="0" tint="-0.34998626667073579"/>
      </right>
      <top style="thin">
        <color theme="0" tint="-0.499984740745262"/>
      </top>
      <bottom/>
      <diagonal/>
    </border>
    <border>
      <left/>
      <right/>
      <top/>
      <bottom style="thin">
        <color theme="0" tint="-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9" fontId="4" fillId="0" borderId="0" applyFont="0" applyFill="0" applyBorder="0" applyProtection="0">
      <alignment horizontal="center" vertical="center"/>
    </xf>
    <xf numFmtId="0" fontId="7" fillId="0" borderId="0"/>
    <xf numFmtId="164" fontId="4" fillId="0" borderId="1" applyFont="0" applyFill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Alignment="0" applyProtection="0"/>
    <xf numFmtId="0" fontId="5" fillId="0" borderId="0" applyNumberFormat="0" applyFill="0" applyProtection="0">
      <alignment vertical="top"/>
    </xf>
    <xf numFmtId="0" fontId="4" fillId="0" borderId="0" applyNumberFormat="0" applyFill="0" applyProtection="0">
      <alignment horizontal="right" vertical="center" indent="1"/>
    </xf>
    <xf numFmtId="14" fontId="4" fillId="0" borderId="0" applyFont="0" applyFill="0" applyBorder="0">
      <alignment horizontal="center" vertical="center"/>
    </xf>
    <xf numFmtId="165" fontId="4" fillId="0" borderId="0" applyFont="0" applyFill="0" applyBorder="0" applyProtection="0">
      <alignment horizontal="center" vertical="center"/>
    </xf>
    <xf numFmtId="0" fontId="7" fillId="2" borderId="0" applyNumberFormat="0" applyBorder="0" applyAlignment="0" applyProtection="0"/>
    <xf numFmtId="44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1" fillId="4" borderId="0" applyNumberFormat="0" applyBorder="0" applyAlignment="0" applyProtection="0"/>
    <xf numFmtId="0" fontId="22" fillId="5" borderId="0" applyNumberFormat="0" applyBorder="0" applyAlignment="0" applyProtection="0"/>
    <xf numFmtId="0" fontId="23" fillId="6" borderId="0" applyNumberFormat="0" applyBorder="0" applyAlignment="0" applyProtection="0"/>
    <xf numFmtId="0" fontId="24" fillId="7" borderId="9" applyNumberFormat="0" applyAlignment="0" applyProtection="0"/>
    <xf numFmtId="0" fontId="25" fillId="8" borderId="10" applyNumberFormat="0" applyAlignment="0" applyProtection="0"/>
    <xf numFmtId="0" fontId="26" fillId="8" borderId="9" applyNumberFormat="0" applyAlignment="0" applyProtection="0"/>
    <xf numFmtId="0" fontId="27" fillId="0" borderId="11" applyNumberFormat="0" applyFill="0" applyAlignment="0" applyProtection="0"/>
    <xf numFmtId="0" fontId="13" fillId="9" borderId="12" applyNumberFormat="0" applyAlignment="0" applyProtection="0"/>
    <xf numFmtId="0" fontId="28" fillId="0" borderId="0" applyNumberFormat="0" applyFill="0" applyBorder="0" applyAlignment="0" applyProtection="0"/>
    <xf numFmtId="0" fontId="4" fillId="10" borderId="13" applyNumberFormat="0" applyFont="0" applyAlignment="0" applyProtection="0"/>
    <xf numFmtId="0" fontId="29" fillId="0" borderId="0" applyNumberFormat="0" applyFill="0" applyBorder="0" applyAlignment="0" applyProtection="0"/>
    <xf numFmtId="0" fontId="30" fillId="0" borderId="14" applyNumberFormat="0" applyFill="0" applyAlignment="0" applyProtection="0"/>
    <xf numFmtId="0" fontId="7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7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7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7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7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</cellStyleXfs>
  <cellXfs count="7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7" fillId="0" borderId="0" xfId="3"/>
    <xf numFmtId="0" fontId="7" fillId="0" borderId="0" xfId="3" applyAlignment="1">
      <alignment wrapText="1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3" fillId="0" borderId="0" xfId="0" applyFont="1" applyAlignment="1">
      <alignment horizontal="center" vertical="center"/>
    </xf>
    <xf numFmtId="9" fontId="10" fillId="0" borderId="0" xfId="2" applyFont="1" applyFill="1" applyBorder="1">
      <alignment horizontal="center" vertical="center"/>
    </xf>
    <xf numFmtId="14" fontId="3" fillId="0" borderId="0" xfId="9" applyFont="1" applyFill="1" applyBorder="1">
      <alignment horizontal="center" vertical="center"/>
    </xf>
    <xf numFmtId="165" fontId="3" fillId="0" borderId="0" xfId="10" applyFont="1" applyFill="1" applyBorder="1">
      <alignment horizontal="center" vertical="center"/>
    </xf>
    <xf numFmtId="0" fontId="15" fillId="0" borderId="0" xfId="5" applyFont="1" applyFill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8" fillId="0" borderId="0" xfId="6" applyFont="1" applyFill="1" applyAlignment="1">
      <alignment horizontal="left" vertical="center" indent="2"/>
    </xf>
    <xf numFmtId="0" fontId="11" fillId="0" borderId="0" xfId="6" applyFont="1" applyFill="1" applyAlignment="1">
      <alignment horizontal="left" vertical="center" indent="2"/>
    </xf>
    <xf numFmtId="0" fontId="3" fillId="0" borderId="0" xfId="0" applyFont="1" applyAlignment="1">
      <alignment horizontal="left" vertical="center" indent="2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 vertical="center"/>
    </xf>
    <xf numFmtId="0" fontId="18" fillId="0" borderId="0" xfId="0" applyFont="1" applyAlignment="1">
      <alignment horizontal="left" vertical="center" indent="2"/>
    </xf>
    <xf numFmtId="0" fontId="3" fillId="0" borderId="0" xfId="8" applyFont="1" applyFill="1" applyAlignment="1">
      <alignment horizontal="left" vertical="center" indent="2"/>
    </xf>
    <xf numFmtId="14" fontId="3" fillId="0" borderId="0" xfId="9" applyFont="1" applyFill="1" applyBorder="1" applyAlignment="1">
      <alignment horizontal="left" vertical="center" indent="2"/>
    </xf>
    <xf numFmtId="0" fontId="3" fillId="0" borderId="2" xfId="0" applyFont="1" applyBorder="1"/>
    <xf numFmtId="0" fontId="11" fillId="0" borderId="0" xfId="0" applyFont="1" applyAlignment="1">
      <alignment vertical="center"/>
    </xf>
    <xf numFmtId="0" fontId="8" fillId="0" borderId="2" xfId="0" applyFont="1" applyBorder="1" applyAlignment="1">
      <alignment horizontal="center" vertical="center" wrapText="1"/>
    </xf>
    <xf numFmtId="0" fontId="9" fillId="0" borderId="8" xfId="0" applyFont="1" applyBorder="1"/>
    <xf numFmtId="0" fontId="18" fillId="0" borderId="8" xfId="0" applyFont="1" applyBorder="1" applyAlignment="1">
      <alignment vertical="center"/>
    </xf>
    <xf numFmtId="0" fontId="19" fillId="0" borderId="8" xfId="0" applyFont="1" applyBorder="1" applyAlignment="1">
      <alignment vertical="center"/>
    </xf>
    <xf numFmtId="0" fontId="12" fillId="0" borderId="8" xfId="0" applyFont="1" applyBorder="1" applyAlignment="1">
      <alignment vertical="center"/>
    </xf>
    <xf numFmtId="0" fontId="1" fillId="3" borderId="1" xfId="0" applyFont="1" applyFill="1" applyBorder="1" applyAlignment="1">
      <alignment horizontal="center" vertical="center" shrinkToFit="1"/>
    </xf>
    <xf numFmtId="166" fontId="1" fillId="3" borderId="6" xfId="0" applyNumberFormat="1" applyFont="1" applyFill="1" applyBorder="1" applyAlignment="1">
      <alignment horizontal="center" vertical="center"/>
    </xf>
    <xf numFmtId="166" fontId="1" fillId="3" borderId="4" xfId="0" applyNumberFormat="1" applyFont="1" applyFill="1" applyBorder="1" applyAlignment="1">
      <alignment horizontal="center" vertical="center"/>
    </xf>
    <xf numFmtId="166" fontId="1" fillId="3" borderId="7" xfId="0" applyNumberFormat="1" applyFont="1" applyFill="1" applyBorder="1" applyAlignment="1">
      <alignment horizontal="center" vertical="center"/>
    </xf>
    <xf numFmtId="0" fontId="7" fillId="34" borderId="0" xfId="0" applyFont="1" applyFill="1"/>
    <xf numFmtId="0" fontId="13" fillId="34" borderId="0" xfId="0" applyFont="1" applyFill="1" applyAlignment="1">
      <alignment horizontal="center" vertical="center" wrapText="1"/>
    </xf>
    <xf numFmtId="0" fontId="3" fillId="0" borderId="0" xfId="9" applyNumberFormat="1" applyFont="1" applyFill="1" applyBorder="1" applyAlignment="1">
      <alignment horizontal="left" vertical="center"/>
    </xf>
    <xf numFmtId="0" fontId="7" fillId="0" borderId="0" xfId="3" applyAlignment="1">
      <alignment vertical="center"/>
    </xf>
    <xf numFmtId="9" fontId="3" fillId="0" borderId="0" xfId="2" applyFont="1">
      <alignment horizontal="center" vertical="center"/>
    </xf>
    <xf numFmtId="167" fontId="3" fillId="0" borderId="0" xfId="9" applyNumberFormat="1" applyFont="1" applyFill="1" applyBorder="1" applyAlignment="1">
      <alignment horizontal="left" vertical="center"/>
    </xf>
    <xf numFmtId="167" fontId="3" fillId="0" borderId="0" xfId="9" applyNumberFormat="1" applyFont="1" applyFill="1" applyBorder="1">
      <alignment horizontal="center" vertical="center"/>
    </xf>
    <xf numFmtId="0" fontId="13" fillId="34" borderId="0" xfId="0" applyFont="1" applyFill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14" fontId="0" fillId="0" borderId="0" xfId="0" applyNumberFormat="1" applyAlignment="1">
      <alignment vertical="center" textRotation="90"/>
    </xf>
    <xf numFmtId="0" fontId="17" fillId="34" borderId="0" xfId="5" applyFont="1" applyFill="1" applyAlignment="1">
      <alignment vertical="center"/>
    </xf>
    <xf numFmtId="0" fontId="30" fillId="35" borderId="0" xfId="0" applyFont="1" applyFill="1"/>
    <xf numFmtId="14" fontId="30" fillId="35" borderId="0" xfId="0" applyNumberFormat="1" applyFont="1" applyFill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 applyAlignment="1">
      <alignment horizontal="left" vertical="center"/>
    </xf>
    <xf numFmtId="0" fontId="13" fillId="34" borderId="0" xfId="0" applyFont="1" applyFill="1" applyAlignment="1">
      <alignment horizontal="left" vertical="center"/>
    </xf>
    <xf numFmtId="0" fontId="0" fillId="0" borderId="0" xfId="0" applyAlignment="1">
      <alignment horizontal="left" vertical="center" wrapText="1"/>
    </xf>
    <xf numFmtId="168" fontId="0" fillId="0" borderId="0" xfId="0" applyNumberFormat="1" applyAlignment="1">
      <alignment horizontal="center"/>
    </xf>
    <xf numFmtId="168" fontId="17" fillId="34" borderId="0" xfId="5" applyNumberFormat="1" applyFont="1" applyFill="1" applyAlignment="1">
      <alignment vertical="center"/>
    </xf>
    <xf numFmtId="168" fontId="11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/>
    </xf>
    <xf numFmtId="168" fontId="3" fillId="0" borderId="0" xfId="8" applyNumberFormat="1" applyFont="1" applyFill="1" applyAlignment="1">
      <alignment horizontal="left" vertical="center" indent="2"/>
    </xf>
    <xf numFmtId="168" fontId="3" fillId="0" borderId="0" xfId="0" applyNumberFormat="1" applyFont="1"/>
    <xf numFmtId="168" fontId="13" fillId="34" borderId="0" xfId="0" applyNumberFormat="1" applyFont="1" applyFill="1" applyAlignment="1">
      <alignment horizontal="left" vertical="center" wrapText="1"/>
    </xf>
    <xf numFmtId="168" fontId="3" fillId="0" borderId="0" xfId="10" applyNumberFormat="1" applyFont="1" applyFill="1" applyBorder="1">
      <alignment horizontal="center" vertical="center"/>
    </xf>
    <xf numFmtId="168" fontId="0" fillId="0" borderId="0" xfId="0" applyNumberFormat="1" applyAlignment="1">
      <alignment vertical="center"/>
    </xf>
    <xf numFmtId="0" fontId="16" fillId="34" borderId="0" xfId="0" applyFont="1" applyFill="1" applyAlignment="1">
      <alignment horizontal="center" vertical="center"/>
    </xf>
    <xf numFmtId="0" fontId="7" fillId="34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30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" fontId="0" fillId="0" borderId="0" xfId="0" applyNumberFormat="1"/>
  </cellXfs>
  <cellStyles count="50">
    <cellStyle name="20% - Ênfase1" xfId="28" builtinId="30" customBuiltin="1"/>
    <cellStyle name="20% - Ênfase2" xfId="32" builtinId="34" customBuiltin="1"/>
    <cellStyle name="20% - Ênfase3" xfId="35" builtinId="38" customBuiltin="1"/>
    <cellStyle name="20% - Ênfase4" xfId="39" builtinId="42" customBuiltin="1"/>
    <cellStyle name="20% - Ênfase5" xfId="43" builtinId="46" customBuiltin="1"/>
    <cellStyle name="20% - Ênfase6" xfId="47" builtinId="50" customBuiltin="1"/>
    <cellStyle name="40% - Ênfase1" xfId="29" builtinId="31" customBuiltin="1"/>
    <cellStyle name="40% - Ênfase2" xfId="33" builtinId="35" customBuiltin="1"/>
    <cellStyle name="40% - Ênfase3" xfId="36" builtinId="39" customBuiltin="1"/>
    <cellStyle name="40% - Ênfase4" xfId="40" builtinId="43" customBuiltin="1"/>
    <cellStyle name="40% - Ênfase5" xfId="44" builtinId="47" customBuiltin="1"/>
    <cellStyle name="40% - Ênfase6" xfId="48" builtinId="51" customBuiltin="1"/>
    <cellStyle name="60% - Ênfase1" xfId="30" builtinId="32" customBuiltin="1"/>
    <cellStyle name="60% - Ênfase2" xfId="34" builtinId="36" customBuiltin="1"/>
    <cellStyle name="60% - Ênfase3" xfId="37" builtinId="40" customBuiltin="1"/>
    <cellStyle name="60% - Ênfase4" xfId="41" builtinId="44" customBuiltin="1"/>
    <cellStyle name="60% - Ênfase5" xfId="45" builtinId="48" customBuiltin="1"/>
    <cellStyle name="60% - Ênfase6" xfId="49" builtinId="52" customBuiltin="1"/>
    <cellStyle name="Bom" xfId="15" builtinId="26" customBuiltin="1"/>
    <cellStyle name="Cálculo" xfId="20" builtinId="22" customBuiltin="1"/>
    <cellStyle name="Célula de Verificação" xfId="22" builtinId="23" customBuiltin="1"/>
    <cellStyle name="Célula Vinculada" xfId="21" builtinId="24" customBuiltin="1"/>
    <cellStyle name="Data" xfId="9" xr:uid="{229918B6-DD13-4F5A-97B9-305F7E002AA3}"/>
    <cellStyle name="Ênfase1" xfId="27" builtinId="29" customBuiltin="1"/>
    <cellStyle name="Ênfase2" xfId="31" builtinId="33" customBuiltin="1"/>
    <cellStyle name="Ênfase3" xfId="11" builtinId="37" customBuiltin="1"/>
    <cellStyle name="Ênfase4" xfId="38" builtinId="41" customBuiltin="1"/>
    <cellStyle name="Ênfase5" xfId="42" builtinId="45" customBuiltin="1"/>
    <cellStyle name="Ênfase6" xfId="46" builtinId="49" customBuiltin="1"/>
    <cellStyle name="Entrada" xfId="18" builtinId="20" customBuiltin="1"/>
    <cellStyle name="Hiperlink" xfId="1" builtinId="8" customBuiltin="1"/>
    <cellStyle name="Moeda" xfId="12" builtinId="4" customBuiltin="1"/>
    <cellStyle name="Moeda [0]" xfId="13" builtinId="7" customBuiltin="1"/>
    <cellStyle name="Neutro" xfId="17" builtinId="28" customBuiltin="1"/>
    <cellStyle name="Normal" xfId="0" builtinId="0" customBuiltin="1"/>
    <cellStyle name="Nota" xfId="24" builtinId="10" customBuiltin="1"/>
    <cellStyle name="Porcentagem" xfId="2" builtinId="5" customBuiltin="1"/>
    <cellStyle name="Ruim" xfId="16" builtinId="27" customBuiltin="1"/>
    <cellStyle name="Saída" xfId="19" builtinId="21" customBuiltin="1"/>
    <cellStyle name="Separador de milhares [0]" xfId="10" builtinId="6" customBuiltin="1"/>
    <cellStyle name="Texto de Aviso" xfId="23" builtinId="11" customBuiltin="1"/>
    <cellStyle name="Texto Explicativo" xfId="25" builtinId="53" customBuiltin="1"/>
    <cellStyle name="Título" xfId="5" builtinId="15" customBuiltin="1"/>
    <cellStyle name="Título 1" xfId="6" builtinId="16" customBuiltin="1"/>
    <cellStyle name="Título 2" xfId="7" builtinId="17" customBuiltin="1"/>
    <cellStyle name="Título 3" xfId="8" builtinId="18" customBuiltin="1"/>
    <cellStyle name="Título 4" xfId="14" builtinId="19" customBuiltin="1"/>
    <cellStyle name="Total" xfId="26" builtinId="25" customBuiltin="1"/>
    <cellStyle name="Vírgula" xfId="4" builtinId="3" customBuiltin="1"/>
    <cellStyle name="zTextoOculto" xfId="3" xr:uid="{26E66EE6-E33F-4D77-BAE4-0FB4F5BBF673}"/>
  </cellStyles>
  <dxfs count="26">
    <dxf>
      <font>
        <b/>
        <i val="0"/>
        <color theme="0"/>
      </font>
      <border>
        <left style="thin">
          <color rgb="FFC00000"/>
        </left>
        <right style="thin">
          <color rgb="FFC00000"/>
        </right>
        <vertical/>
        <horizontal/>
      </border>
    </dxf>
    <dxf>
      <font>
        <color auto="1"/>
      </font>
      <fill>
        <patternFill>
          <bgColor theme="0" tint="-0.14996795556505021"/>
        </patternFill>
      </fill>
      <border>
        <left/>
        <right/>
        <top/>
        <bottom style="thin">
          <color theme="0" tint="-0.34998626667073579"/>
        </bottom>
      </border>
    </dxf>
    <dxf>
      <fill>
        <patternFill>
          <bgColor theme="9" tint="-0.24994659260841701"/>
        </patternFill>
      </fill>
      <border>
        <vertical/>
        <horizontal/>
      </border>
    </dxf>
    <dxf>
      <font>
        <b val="0"/>
        <i val="0"/>
        <strike val="0"/>
        <color auto="1"/>
      </font>
      <fill>
        <patternFill>
          <bgColor theme="2" tint="-4.9989318521683403E-2"/>
        </patternFill>
      </fill>
      <border>
        <vertical/>
        <horizontal/>
      </border>
    </dxf>
    <dxf>
      <font>
        <color auto="1"/>
      </font>
      <fill>
        <patternFill>
          <bgColor theme="0" tint="-4.9989318521683403E-2"/>
        </patternFill>
      </fill>
      <border>
        <left/>
        <right/>
        <top/>
        <bottom style="thin">
          <color theme="0" tint="-0.34998626667073579"/>
        </bottom>
        <vertical/>
        <horizontal/>
      </border>
    </dxf>
    <dxf>
      <font>
        <b/>
        <i val="0"/>
        <color theme="0"/>
      </font>
      <border>
        <left style="thin">
          <color rgb="FFC00000"/>
        </left>
        <right style="thin">
          <color rgb="FFC00000"/>
        </right>
        <vertical/>
        <horizontal/>
      </border>
    </dxf>
    <dxf>
      <font>
        <color auto="1"/>
      </font>
      <fill>
        <patternFill>
          <bgColor theme="0" tint="-0.14996795556505021"/>
        </patternFill>
      </fill>
      <border>
        <left/>
        <right/>
        <top/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8" formatCode="0.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color auto="1"/>
      </font>
      <alignment horizontal="left" vertical="center" textRotation="0" wrapText="1" relativeIndent="-1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1" relativeIndent="-1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F26522"/>
        </patternFill>
      </fill>
    </dxf>
    <dxf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/>
      </border>
    </dxf>
    <dxf>
      <fill>
        <patternFill>
          <bgColor theme="0" tint="-4.9989318521683403E-2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</dxf>
    <dxf>
      <font>
        <b val="0"/>
        <i val="0"/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0"/>
      </font>
      <fill>
        <patternFill patternType="solid">
          <fgColor theme="4"/>
          <bgColor theme="4"/>
        </patternFill>
      </fill>
      <border diagonalUp="0" diagonalDown="0">
        <left/>
        <right/>
        <top/>
        <bottom/>
        <vertical/>
        <horizontal/>
      </border>
    </dxf>
    <dxf>
      <font>
        <color auto="1"/>
      </font>
      <border diagonalUp="0" diagonalDown="0">
        <left/>
        <right/>
        <top/>
        <bottom/>
        <vertical/>
        <horizontal/>
      </border>
    </dxf>
    <dxf>
      <fill>
        <patternFill>
          <bgColor theme="1" tint="0.24994659260841701"/>
        </patternFill>
      </fill>
    </dxf>
    <dxf>
      <fill>
        <patternFill patternType="solid">
          <fgColor indexed="64"/>
          <bgColor theme="1" tint="0.34998626667073579"/>
        </patternFill>
      </fill>
      <border diagonalUp="0" diagonalDown="0"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  <border diagonalUp="0" diagonalDown="0">
        <left/>
        <right/>
        <top/>
        <bottom/>
        <vertical/>
        <horizontal/>
      </border>
    </dxf>
    <dxf>
      <font>
        <strike val="0"/>
        <color auto="1"/>
      </font>
      <border diagonalUp="0" diagonalDown="0">
        <left/>
        <right/>
        <top/>
        <bottom/>
        <vertical/>
        <horizontal/>
      </border>
    </dxf>
  </dxfs>
  <tableStyles count="2" defaultPivotStyle="PivotStyleLight16">
    <tableStyle name="Estilo de tabela de Gantt" pivot="0" count="4" xr9:uid="{4904D139-63E4-4221-B7C9-C6C5B7A50FAF}">
      <tableStyleElement type="wholeTable" dxfId="25"/>
      <tableStyleElement type="headerRow" dxfId="24"/>
      <tableStyleElement type="firstRowStripe" dxfId="23"/>
      <tableStyleElement type="secondRowStripe" dxfId="22"/>
    </tableStyle>
    <tableStyle name="ListaDeAfazeres" pivot="0" count="9" xr9:uid="{00000000-0011-0000-FFFF-FFFF00000000}">
      <tableStyleElement type="wholeTable" dxfId="21"/>
      <tableStyleElement type="headerRow" dxfId="20"/>
      <tableStyleElement type="totalRow" dxfId="19"/>
      <tableStyleElement type="firstColumn" dxfId="18"/>
      <tableStyleElement type="lastColumn" dxfId="17"/>
      <tableStyleElement type="firstRowStripe" dxfId="16"/>
      <tableStyleElement type="secondRowStripe" dxfId="15"/>
      <tableStyleElement type="firstColumnStripe" dxfId="14"/>
      <tableStyleElement type="secondColumnStripe" dxfId="1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FFD7C9"/>
      <color rgb="FFFFFF99"/>
      <color rgb="FFFBA305"/>
      <color rgb="FFFF7C80"/>
      <color rgb="FFFFD757"/>
      <color rgb="FFFFCCCC"/>
      <color rgb="FFCCFFCC"/>
      <color rgb="FFFFFFCC"/>
      <color rgb="FF7EF284"/>
      <color rgb="FFF8A8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6108.463084143521" createdVersion="8" refreshedVersion="8" minRefreshableVersion="3" recordCount="32" xr:uid="{150A6FF6-7E37-44DC-8B14-299FC31C1494}">
  <cacheSource type="worksheet">
    <worksheetSource name="Milestones43524"/>
  </cacheSource>
  <cacheFields count="7">
    <cacheField name="Atividade" numFmtId="0">
      <sharedItems/>
    </cacheField>
    <cacheField name="Categoria" numFmtId="0">
      <sharedItems containsBlank="1"/>
    </cacheField>
    <cacheField name="Responsável" numFmtId="0">
      <sharedItems count="7">
        <s v="Enablers"/>
        <s v="Perceptiva"/>
        <s v="Cloud Solutions"/>
        <s v="Gestão de Acessos"/>
        <s v="Monitoramento"/>
        <s v="Componentes Estruturais"/>
        <s v="QA"/>
      </sharedItems>
    </cacheField>
    <cacheField name="Progresso" numFmtId="9">
      <sharedItems containsString="0" containsBlank="1" containsNumber="1" minValue="0.9" maxValue="1"/>
    </cacheField>
    <cacheField name="Início" numFmtId="14">
      <sharedItems containsNonDate="0" containsDate="1" containsString="0" containsBlank="1" minDate="2026-03-02T00:00:00" maxDate="2026-05-19T00:00:00"/>
    </cacheField>
    <cacheField name="Dias" numFmtId="165">
      <sharedItems containsString="0" containsBlank="1" containsNumber="1" containsInteger="1" minValue="1" maxValue="24"/>
    </cacheField>
    <cacheField name="Dias Úteis" numFmtId="168">
      <sharedItems containsString="0" containsBlank="1" containsNumber="1" minValue="0.2" maxValue="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s v="Planejamento"/>
    <m/>
    <x v="0"/>
    <n v="0.9"/>
    <d v="2026-03-02T00:00:00"/>
    <n v="3"/>
    <m/>
  </r>
  <r>
    <s v="Aquisição"/>
    <m/>
    <x v="0"/>
    <n v="1"/>
    <d v="2026-03-02T00:00:00"/>
    <n v="24"/>
    <m/>
  </r>
  <r>
    <s v="Provisionamento"/>
    <m/>
    <x v="1"/>
    <m/>
    <d v="2026-03-30T00:00:00"/>
    <n v="1"/>
    <n v="1"/>
  </r>
  <r>
    <s v="Acessos Konnect, rede e DNS"/>
    <m/>
    <x v="2"/>
    <m/>
    <m/>
    <n v="3"/>
    <m/>
  </r>
  <r>
    <s v="Kick-off"/>
    <m/>
    <x v="0"/>
    <m/>
    <d v="2026-03-30T00:00:00"/>
    <n v="1"/>
    <n v="1"/>
  </r>
  <r>
    <s v="Repositório SCM e estratégia decK/Terraform"/>
    <m/>
    <x v="1"/>
    <m/>
    <m/>
    <m/>
    <m/>
  </r>
  <r>
    <s v="Treinamento Essencial para Desenvolvedores"/>
    <m/>
    <x v="1"/>
    <m/>
    <d v="2026-03-31T00:00:00"/>
    <n v="1"/>
    <n v="1"/>
  </r>
  <r>
    <s v="Treinamento para QAs"/>
    <m/>
    <x v="1"/>
    <m/>
    <d v="2026-04-01T00:00:00"/>
    <n v="1"/>
    <n v="0.5"/>
  </r>
  <r>
    <s v="Treinamento para SREs"/>
    <m/>
    <x v="1"/>
    <m/>
    <d v="2026-04-01T00:00:00"/>
    <n v="1"/>
    <n v="0.2"/>
  </r>
  <r>
    <s v="Treinamento para Segurança e Gestão de Acesso"/>
    <m/>
    <x v="1"/>
    <m/>
    <d v="2026-04-01T00:00:00"/>
    <n v="1"/>
    <n v="0.2"/>
  </r>
  <r>
    <s v="Treinamento para o time de Monitoramento"/>
    <m/>
    <x v="1"/>
    <m/>
    <d v="2026-04-02T00:00:00"/>
    <n v="1"/>
    <n v="0.3"/>
  </r>
  <r>
    <s v="Parametrizações de Segurança"/>
    <m/>
    <x v="3"/>
    <m/>
    <d v="2026-04-02T00:00:00"/>
    <n v="2"/>
    <n v="2"/>
  </r>
  <r>
    <s v="Integrar o Kong com o Datadog da Pottencial"/>
    <m/>
    <x v="2"/>
    <m/>
    <m/>
    <n v="2"/>
    <n v="2"/>
  </r>
  <r>
    <s v="Implementar Cache de Tokens na CloudFlare"/>
    <m/>
    <x v="2"/>
    <m/>
    <m/>
    <n v="3"/>
    <n v="3"/>
  </r>
  <r>
    <s v="Mecanismos e/ou dashboards de Monitoramento"/>
    <m/>
    <x v="4"/>
    <m/>
    <m/>
    <n v="3"/>
    <n v="3"/>
  </r>
  <r>
    <s v="Migração de consumers (contas das corretoras)"/>
    <m/>
    <x v="1"/>
    <m/>
    <d v="2026-03-30T00:00:00"/>
    <n v="1"/>
    <n v="1"/>
  </r>
  <r>
    <s v="Configuração de Plugins e Interceptors"/>
    <m/>
    <x v="1"/>
    <m/>
    <d v="2026-03-31T00:00:00"/>
    <n v="15"/>
    <n v="10"/>
  </r>
  <r>
    <s v="Migração das APIs e seus endpoints - 1/2"/>
    <m/>
    <x v="5"/>
    <n v="1"/>
    <d v="2026-03-05T00:00:00"/>
    <n v="6"/>
    <n v="7"/>
  </r>
  <r>
    <s v="Migração das APIs e seus endpoints - 2/2"/>
    <m/>
    <x v="5"/>
    <m/>
    <d v="2026-04-01T00:00:00"/>
    <n v="2"/>
    <n v="2"/>
  </r>
  <r>
    <s v="Conversão de Scripts Customizados JS - Lua - 1/2"/>
    <m/>
    <x v="5"/>
    <n v="1"/>
    <d v="2026-03-05T00:00:00"/>
    <n v="12"/>
    <n v="8"/>
  </r>
  <r>
    <s v="Conversão de Scripts Customizados JS - Lua - 2/2"/>
    <m/>
    <x v="5"/>
    <m/>
    <d v="2026-04-06T00:00:00"/>
    <n v="9"/>
    <n v="7"/>
  </r>
  <r>
    <s v="Automação de deploy"/>
    <m/>
    <x v="5"/>
    <m/>
    <d v="2026-04-13T00:00:00"/>
    <n v="2"/>
    <n v="2"/>
  </r>
  <r>
    <s v="Homologação Funcional Integrada"/>
    <m/>
    <x v="6"/>
    <m/>
    <d v="2026-04-09T00:00:00"/>
    <n v="7"/>
    <n v="5"/>
  </r>
  <r>
    <s v="Go-live e Rollout"/>
    <m/>
    <x v="5"/>
    <m/>
    <d v="2026-04-16T00:00:00"/>
    <n v="12"/>
    <n v="7"/>
  </r>
  <r>
    <s v="Independência do Sensedia"/>
    <s v="Marco"/>
    <x v="0"/>
    <m/>
    <d v="2026-04-28T00:00:00"/>
    <n v="1"/>
    <n v="1"/>
  </r>
  <r>
    <s v="Dev Portal"/>
    <m/>
    <x v="1"/>
    <m/>
    <d v="2026-04-15T00:00:00"/>
    <n v="22"/>
    <n v="14"/>
  </r>
  <r>
    <s v="Dead line Sensedia"/>
    <s v="Marco"/>
    <x v="0"/>
    <m/>
    <d v="2026-05-09T00:00:00"/>
    <n v="1"/>
    <n v="1"/>
  </r>
  <r>
    <s v="Treinamento atendimento e onboarding das corretoras"/>
    <m/>
    <x v="1"/>
    <m/>
    <d v="2026-05-13T00:00:00"/>
    <n v="1"/>
    <n v="0.2"/>
  </r>
  <r>
    <s v="Treinamento para coordenadores de engenharia"/>
    <m/>
    <x v="1"/>
    <m/>
    <d v="2026-05-13T00:00:00"/>
    <n v="1"/>
    <n v="0.2"/>
  </r>
  <r>
    <s v="Treinamento Avançado para Desenvolvedores"/>
    <m/>
    <x v="1"/>
    <m/>
    <d v="2026-05-14T00:00:00"/>
    <n v="2"/>
    <n v="2"/>
  </r>
  <r>
    <s v="Playbook Kong (desenvolvimento e operação)"/>
    <m/>
    <x v="1"/>
    <m/>
    <d v="2026-05-15T00:00:00"/>
    <n v="2"/>
    <n v="2"/>
  </r>
  <r>
    <s v="Reunião de Encerramento"/>
    <s v="Objetivo"/>
    <x v="0"/>
    <m/>
    <d v="2026-05-18T00:00:00"/>
    <n v="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2D4739-9280-4BAE-B739-30838A50E338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1" firstHeaderRow="1" firstDataRow="1" firstDataCol="1"/>
  <pivotFields count="7">
    <pivotField showAll="0"/>
    <pivotField showAll="0"/>
    <pivotField axis="axisRow" showAll="0">
      <items count="8">
        <item x="2"/>
        <item x="5"/>
        <item x="0"/>
        <item x="1"/>
        <item x="6"/>
        <item x="4"/>
        <item x="3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oma de Dias Útei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76EA49D-634E-482B-8173-880F7B761E2C}" name="Milestones43524" displayName="Milestones43524" ref="B9:H41" totalsRowShown="0" headerRowDxfId="12">
  <autoFilter ref="B9:H41" xr:uid="{876EA49D-634E-482B-8173-880F7B761E2C}"/>
  <tableColumns count="7">
    <tableColumn id="1" xr3:uid="{0971B905-713A-4980-8BBC-DF959C2E61F9}" name="Atividade" dataDxfId="11"/>
    <tableColumn id="2" xr3:uid="{4492A0B8-068F-4002-9E8D-E1F5FED367F0}" name="Categoria" dataDxfId="10"/>
    <tableColumn id="3" xr3:uid="{DF1A764E-7050-4528-B7F9-B6AB99372146}" name="Responsável" dataDxfId="9"/>
    <tableColumn id="4" xr3:uid="{47C54592-75B0-4C70-BBF8-0F40483670E9}" name="Progresso"/>
    <tableColumn id="5" xr3:uid="{663FB5E0-7616-4EA5-B56A-FF069E2E07D7}" name="Início" dataCellStyle="Data"/>
    <tableColumn id="6" xr3:uid="{3B766962-C06F-4E12-BE91-12AB93439874}" name="Dias" dataDxfId="8" dataCellStyle="Separador de milhares [0]"/>
    <tableColumn id="8" xr3:uid="{DAA0F0B9-FE67-45F1-ADFF-65DAD20990D0}" name="Dias Úteis" dataDxfId="7" dataCellStyle="Separador de milhares [0]"/>
  </tableColumns>
  <tableStyleInfo name="ListaDeAfazeres" showFirstColumn="1" showLastColumn="0" showRowStripes="1" showColumnStripes="0"/>
  <extLst>
    <ext xmlns:x14="http://schemas.microsoft.com/office/spreadsheetml/2009/9/main" uri="{504A1905-F514-4f6f-8877-14C23A59335A}">
      <x14:table altTextSummary="Insira as Informações do Projeto nesta tabela. Insira uma descrição de marco para uma fase, tarefa, atividade, etc. na coluna abaixo de Descrição. Selecione uma categoria na coluna Categoria. Atribua o item a alguém na coluna Atribuído A. Atualize o progresso e observe a atualização automática das barras de dados na coluna Progresso. Insira a data de início na coluna Início e o número de dias na coluna de número de dias. Os dados Ghantt nas células J9 a BM 34 serão atualizados automaticamente. Adicione novas linhas à tabela para adicionar mais tarefas."/>
    </ext>
  </extLst>
</table>
</file>

<file path=xl/theme/theme1.xml><?xml version="1.0" encoding="utf-8"?>
<a:theme xmlns:a="http://schemas.openxmlformats.org/drawingml/2006/main" name="Attitude">
  <a:themeElements>
    <a:clrScheme name="Custom 60">
      <a:dk1>
        <a:srgbClr val="000000"/>
      </a:dk1>
      <a:lt1>
        <a:sysClr val="window" lastClr="FFFFFF"/>
      </a:lt1>
      <a:dk2>
        <a:srgbClr val="8439BD"/>
      </a:dk2>
      <a:lt2>
        <a:srgbClr val="FFFFFF"/>
      </a:lt2>
      <a:accent1>
        <a:srgbClr val="0EABB7"/>
      </a:accent1>
      <a:accent2>
        <a:srgbClr val="4868E5"/>
      </a:accent2>
      <a:accent3>
        <a:srgbClr val="20A472"/>
      </a:accent3>
      <a:accent4>
        <a:srgbClr val="B13DC8"/>
      </a:accent4>
      <a:accent5>
        <a:srgbClr val="172DA6"/>
      </a:accent5>
      <a:accent6>
        <a:srgbClr val="00B0F0"/>
      </a:accent6>
      <a:hlink>
        <a:srgbClr val="00B0F0"/>
      </a:hlink>
      <a:folHlink>
        <a:srgbClr val="B036B3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B8625-911A-4DD3-B0BE-8E3C7AEA3578}">
  <sheetPr>
    <pageSetUpPr fitToPage="1"/>
  </sheetPr>
  <dimension ref="A1:BQ43"/>
  <sheetViews>
    <sheetView showGridLines="0" tabSelected="1" showRuler="0" topLeftCell="A3" zoomScale="85" zoomScaleNormal="85" zoomScalePageLayoutView="70" workbookViewId="0">
      <selection activeCell="B37" sqref="B37"/>
    </sheetView>
  </sheetViews>
  <sheetFormatPr defaultRowHeight="30" customHeight="1" x14ac:dyDescent="0.3"/>
  <cols>
    <col min="1" max="1" width="4.6640625" style="3" customWidth="1"/>
    <col min="2" max="2" width="49" customWidth="1"/>
    <col min="3" max="3" width="14" customWidth="1"/>
    <col min="4" max="4" width="33.33203125" bestFit="1" customWidth="1"/>
    <col min="5" max="5" width="15.6640625" customWidth="1"/>
    <col min="6" max="6" width="11.5546875" style="2" bestFit="1" customWidth="1"/>
    <col min="7" max="7" width="9.6640625" customWidth="1"/>
    <col min="8" max="8" width="12.109375" style="55" customWidth="1"/>
    <col min="9" max="65" width="3.44140625" customWidth="1"/>
    <col min="66" max="66" width="3.5546875" customWidth="1"/>
    <col min="67" max="67" width="2.6640625" customWidth="1"/>
  </cols>
  <sheetData>
    <row r="1" spans="1:69" ht="25.2" customHeight="1" x14ac:dyDescent="0.3"/>
    <row r="2" spans="1:69" ht="49.95" customHeight="1" x14ac:dyDescent="0.3">
      <c r="A2" s="4"/>
      <c r="B2" s="46" t="s">
        <v>0</v>
      </c>
      <c r="C2" s="46"/>
      <c r="D2" s="46"/>
      <c r="E2" s="46"/>
      <c r="F2" s="46"/>
      <c r="G2" s="46"/>
      <c r="H2" s="56"/>
      <c r="I2" s="46"/>
      <c r="J2" s="64"/>
      <c r="K2" s="64"/>
      <c r="L2" s="64"/>
      <c r="M2" s="64"/>
      <c r="N2" s="64"/>
      <c r="O2" s="64"/>
      <c r="P2" s="65"/>
      <c r="Q2" s="65"/>
      <c r="R2" s="65"/>
      <c r="S2" s="65"/>
      <c r="T2" s="65"/>
      <c r="U2" s="6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  <c r="BD2" s="35"/>
      <c r="BE2" s="35"/>
      <c r="BF2" s="35"/>
      <c r="BG2" s="35"/>
      <c r="BH2" s="35"/>
      <c r="BI2" s="35"/>
      <c r="BJ2" s="35"/>
      <c r="BK2" s="35"/>
      <c r="BL2" s="35"/>
      <c r="BM2" s="35"/>
      <c r="BN2" s="35"/>
    </row>
    <row r="3" spans="1:69" ht="19.95" customHeight="1" x14ac:dyDescent="0.3">
      <c r="A3" s="4"/>
      <c r="B3" s="11"/>
      <c r="C3" s="12"/>
      <c r="D3" s="13"/>
      <c r="E3" s="13"/>
      <c r="F3" s="14"/>
      <c r="G3" s="13"/>
      <c r="H3" s="57"/>
      <c r="I3" s="13"/>
      <c r="J3" s="25"/>
      <c r="K3" s="1"/>
      <c r="L3" s="1"/>
      <c r="M3" s="1"/>
    </row>
    <row r="4" spans="1:69" ht="30" customHeight="1" x14ac:dyDescent="0.3">
      <c r="A4" s="4"/>
      <c r="B4" s="15" t="s">
        <v>1</v>
      </c>
      <c r="C4" s="16"/>
      <c r="D4" s="17"/>
      <c r="E4" s="18"/>
      <c r="F4" s="19"/>
      <c r="G4" s="20"/>
      <c r="H4" s="58"/>
      <c r="I4" s="18"/>
    </row>
    <row r="5" spans="1:69" ht="30" customHeight="1" x14ac:dyDescent="0.3">
      <c r="A5" s="4"/>
      <c r="B5" s="21" t="s">
        <v>2</v>
      </c>
      <c r="C5" s="37" t="s">
        <v>3</v>
      </c>
      <c r="D5" s="17"/>
      <c r="E5" s="18"/>
      <c r="F5" s="19"/>
      <c r="H5" s="58"/>
      <c r="I5" s="18"/>
    </row>
    <row r="6" spans="1:69" ht="20.25" customHeight="1" x14ac:dyDescent="0.3">
      <c r="A6" s="4"/>
      <c r="B6" s="22" t="s">
        <v>4</v>
      </c>
      <c r="C6" s="40">
        <v>46083</v>
      </c>
      <c r="D6" s="23"/>
      <c r="E6" s="22" t="s">
        <v>5</v>
      </c>
      <c r="F6" s="22"/>
      <c r="G6" s="41">
        <v>46151</v>
      </c>
      <c r="H6" s="59"/>
      <c r="I6" s="18"/>
    </row>
    <row r="7" spans="1:69" ht="20.25" customHeight="1" x14ac:dyDescent="0.4">
      <c r="A7" s="4"/>
      <c r="B7" s="22" t="s">
        <v>6</v>
      </c>
      <c r="C7" s="52">
        <v>20</v>
      </c>
      <c r="D7" s="17"/>
      <c r="E7" s="22" t="s">
        <v>7</v>
      </c>
      <c r="F7" s="22"/>
      <c r="G7" s="39">
        <f>SUMPRODUCT(E10:E41,H10:H41)/SUM(H10:H41)</f>
        <v>0.16741071428571427</v>
      </c>
      <c r="H7" s="59"/>
      <c r="I7" s="24"/>
      <c r="J7" s="28" t="str">
        <f ca="1">TEXT(J8,"mmmm")</f>
        <v>março</v>
      </c>
      <c r="K7" s="28"/>
      <c r="L7" s="28"/>
      <c r="M7" s="28"/>
      <c r="N7" s="28"/>
      <c r="O7" s="28"/>
      <c r="P7" s="28"/>
      <c r="Q7" s="28" t="str">
        <f ca="1">IF(TEXT(Q8,"mmmm")=J7,"",TEXT(Q8,"mmmm"))</f>
        <v/>
      </c>
      <c r="R7" s="28"/>
      <c r="S7" s="28"/>
      <c r="T7" s="28"/>
      <c r="U7" s="28"/>
      <c r="V7" s="28"/>
      <c r="W7" s="28"/>
      <c r="X7" s="28" t="str">
        <f ca="1">IF(OR(TEXT(X8,"mmmm")=Q7,TEXT(X8,"mmmm")=J7),"",TEXT(X8,"mmmm"))</f>
        <v>abril</v>
      </c>
      <c r="Y7" s="28"/>
      <c r="Z7" s="28"/>
      <c r="AA7" s="28"/>
      <c r="AB7" s="28"/>
      <c r="AC7" s="28"/>
      <c r="AD7" s="28"/>
      <c r="AE7" s="28" t="str">
        <f ca="1">IF(OR(TEXT(AE8,"mmmm")=X7,TEXT(AE8,"mmmm")=Q7,TEXT(AE8,"mmmm")=J7),"",TEXT(AE8,"mmmm"))</f>
        <v/>
      </c>
      <c r="AF7" s="28"/>
      <c r="AG7" s="28"/>
      <c r="AH7" s="28"/>
      <c r="AI7" s="28"/>
      <c r="AJ7" s="28"/>
      <c r="AK7" s="28"/>
      <c r="AL7" s="28" t="str">
        <f ca="1">IF(OR(TEXT(AL8,"mmmm")=AE7,TEXT(AL8,"mmmm")=X7,TEXT(AL8,"mmmm")=Q7,TEXT(AL8,"mmmm")=J7),"",TEXT(AL8,"mmmm"))</f>
        <v/>
      </c>
      <c r="AM7" s="28"/>
      <c r="AN7" s="28"/>
      <c r="AO7" s="28"/>
      <c r="AP7" s="28"/>
      <c r="AQ7" s="28"/>
      <c r="AR7" s="28"/>
      <c r="AS7" s="28" t="str">
        <f ca="1">IF(OR(TEXT(AS8,"mmmm")=AL7,TEXT(AS8,"mmmm")=AE7,TEXT(AS8,"mmmm")=X7,TEXT(AS8,"mmmm")=Q7),"",TEXT(AS8,"mmmm"))</f>
        <v/>
      </c>
      <c r="AT7" s="28"/>
      <c r="AU7" s="28"/>
      <c r="AV7" s="28"/>
      <c r="AW7" s="28"/>
      <c r="AX7" s="28"/>
      <c r="AY7" s="29"/>
      <c r="AZ7" s="29" t="str">
        <f ca="1">IF(OR(TEXT(AZ8,"mmmm")=AS7,TEXT(AZ8,"mmmm")=AL7,TEXT(AZ8,"mmmm")=AE7,TEXT(AZ8,"mmmm")=X7),"",TEXT(AZ8,"mmmm"))</f>
        <v>maio</v>
      </c>
      <c r="BA7" s="29"/>
      <c r="BB7" s="29"/>
      <c r="BC7" s="30"/>
      <c r="BD7" s="27"/>
      <c r="BE7" s="27"/>
      <c r="BF7" s="27"/>
      <c r="BG7" s="27" t="str">
        <f ca="1">IF(OR(TEXT(BG8,"mmmm")=AZ7,TEXT(BG8,"mmmm")=AS7,TEXT(BG8,"mmmm")=AL7,TEXT(BG8,"mmmm")=AE7),"",TEXT(BG8,"mmmm"))</f>
        <v/>
      </c>
      <c r="BH7" s="27"/>
      <c r="BI7" s="27"/>
      <c r="BJ7" s="27"/>
      <c r="BK7" s="27"/>
      <c r="BL7" s="27"/>
      <c r="BM7" s="27"/>
    </row>
    <row r="8" spans="1:69" ht="20.25" customHeight="1" x14ac:dyDescent="0.3">
      <c r="A8" s="4"/>
      <c r="B8" s="17"/>
      <c r="C8" s="17"/>
      <c r="D8" s="17"/>
      <c r="E8" s="18"/>
      <c r="F8" s="18"/>
      <c r="G8" s="18"/>
      <c r="H8" s="60"/>
      <c r="I8" s="24"/>
      <c r="J8" s="32">
        <f ca="1">IFERROR(Início_do_projeto+Incremento_de_Rolagem,TODAY())</f>
        <v>46103</v>
      </c>
      <c r="K8" s="33">
        <f ca="1">J8+1</f>
        <v>46104</v>
      </c>
      <c r="L8" s="33">
        <f t="shared" ref="L8:AY8" ca="1" si="0">K8+1</f>
        <v>46105</v>
      </c>
      <c r="M8" s="33">
        <f t="shared" ca="1" si="0"/>
        <v>46106</v>
      </c>
      <c r="N8" s="33">
        <f t="shared" ca="1" si="0"/>
        <v>46107</v>
      </c>
      <c r="O8" s="33">
        <f t="shared" ca="1" si="0"/>
        <v>46108</v>
      </c>
      <c r="P8" s="34">
        <f t="shared" ca="1" si="0"/>
        <v>46109</v>
      </c>
      <c r="Q8" s="33">
        <f ca="1">P8+1</f>
        <v>46110</v>
      </c>
      <c r="R8" s="33">
        <f ca="1">Q8+1</f>
        <v>46111</v>
      </c>
      <c r="S8" s="33">
        <f t="shared" ca="1" si="0"/>
        <v>46112</v>
      </c>
      <c r="T8" s="33">
        <f t="shared" ca="1" si="0"/>
        <v>46113</v>
      </c>
      <c r="U8" s="33">
        <f t="shared" ca="1" si="0"/>
        <v>46114</v>
      </c>
      <c r="V8" s="33">
        <f t="shared" ca="1" si="0"/>
        <v>46115</v>
      </c>
      <c r="W8" s="34">
        <f t="shared" ca="1" si="0"/>
        <v>46116</v>
      </c>
      <c r="X8" s="33">
        <f ca="1">W8+1</f>
        <v>46117</v>
      </c>
      <c r="Y8" s="33">
        <f ca="1">X8+1</f>
        <v>46118</v>
      </c>
      <c r="Z8" s="33">
        <f t="shared" ca="1" si="0"/>
        <v>46119</v>
      </c>
      <c r="AA8" s="33">
        <f t="shared" ca="1" si="0"/>
        <v>46120</v>
      </c>
      <c r="AB8" s="33">
        <f t="shared" ca="1" si="0"/>
        <v>46121</v>
      </c>
      <c r="AC8" s="33">
        <f t="shared" ca="1" si="0"/>
        <v>46122</v>
      </c>
      <c r="AD8" s="34">
        <f t="shared" ca="1" si="0"/>
        <v>46123</v>
      </c>
      <c r="AE8" s="33">
        <f ca="1">AD8+1</f>
        <v>46124</v>
      </c>
      <c r="AF8" s="33">
        <f ca="1">AE8+1</f>
        <v>46125</v>
      </c>
      <c r="AG8" s="33">
        <f t="shared" ca="1" si="0"/>
        <v>46126</v>
      </c>
      <c r="AH8" s="33">
        <f t="shared" ca="1" si="0"/>
        <v>46127</v>
      </c>
      <c r="AI8" s="33">
        <f t="shared" ca="1" si="0"/>
        <v>46128</v>
      </c>
      <c r="AJ8" s="33">
        <f t="shared" ca="1" si="0"/>
        <v>46129</v>
      </c>
      <c r="AK8" s="34">
        <f t="shared" ca="1" si="0"/>
        <v>46130</v>
      </c>
      <c r="AL8" s="33">
        <f ca="1">AK8+1</f>
        <v>46131</v>
      </c>
      <c r="AM8" s="33">
        <f ca="1">AL8+1</f>
        <v>46132</v>
      </c>
      <c r="AN8" s="33">
        <f t="shared" ca="1" si="0"/>
        <v>46133</v>
      </c>
      <c r="AO8" s="33">
        <f t="shared" ca="1" si="0"/>
        <v>46134</v>
      </c>
      <c r="AP8" s="33">
        <f t="shared" ca="1" si="0"/>
        <v>46135</v>
      </c>
      <c r="AQ8" s="33">
        <f t="shared" ca="1" si="0"/>
        <v>46136</v>
      </c>
      <c r="AR8" s="34">
        <f t="shared" ca="1" si="0"/>
        <v>46137</v>
      </c>
      <c r="AS8" s="33">
        <f ca="1">AR8+1</f>
        <v>46138</v>
      </c>
      <c r="AT8" s="33">
        <f ca="1">AS8+1</f>
        <v>46139</v>
      </c>
      <c r="AU8" s="33">
        <f t="shared" ca="1" si="0"/>
        <v>46140</v>
      </c>
      <c r="AV8" s="33">
        <f t="shared" ca="1" si="0"/>
        <v>46141</v>
      </c>
      <c r="AW8" s="33">
        <f t="shared" ca="1" si="0"/>
        <v>46142</v>
      </c>
      <c r="AX8" s="33">
        <f t="shared" ca="1" si="0"/>
        <v>46143</v>
      </c>
      <c r="AY8" s="34">
        <f t="shared" ca="1" si="0"/>
        <v>46144</v>
      </c>
      <c r="AZ8" s="33">
        <f ca="1">AY8+1</f>
        <v>46145</v>
      </c>
      <c r="BA8" s="33">
        <f ca="1">AZ8+1</f>
        <v>46146</v>
      </c>
      <c r="BB8" s="33">
        <f t="shared" ref="BB8:BF8" ca="1" si="1">BA8+1</f>
        <v>46147</v>
      </c>
      <c r="BC8" s="33">
        <f t="shared" ca="1" si="1"/>
        <v>46148</v>
      </c>
      <c r="BD8" s="33">
        <f t="shared" ca="1" si="1"/>
        <v>46149</v>
      </c>
      <c r="BE8" s="33">
        <f t="shared" ca="1" si="1"/>
        <v>46150</v>
      </c>
      <c r="BF8" s="34">
        <f t="shared" ca="1" si="1"/>
        <v>46151</v>
      </c>
      <c r="BG8" s="33">
        <f ca="1">BF8+1</f>
        <v>46152</v>
      </c>
      <c r="BH8" s="33">
        <f ca="1">BG8+1</f>
        <v>46153</v>
      </c>
      <c r="BI8" s="33">
        <f t="shared" ref="BI8:BM8" ca="1" si="2">BH8+1</f>
        <v>46154</v>
      </c>
      <c r="BJ8" s="33">
        <f t="shared" ca="1" si="2"/>
        <v>46155</v>
      </c>
      <c r="BK8" s="33">
        <f t="shared" ca="1" si="2"/>
        <v>46156</v>
      </c>
      <c r="BL8" s="33">
        <f t="shared" ca="1" si="2"/>
        <v>46157</v>
      </c>
      <c r="BM8" s="34">
        <f t="shared" ca="1" si="2"/>
        <v>46158</v>
      </c>
    </row>
    <row r="9" spans="1:69" ht="20.25" customHeight="1" x14ac:dyDescent="0.3">
      <c r="A9" s="4"/>
      <c r="B9" s="53" t="s">
        <v>8</v>
      </c>
      <c r="C9" s="42" t="s">
        <v>9</v>
      </c>
      <c r="D9" s="36" t="s">
        <v>10</v>
      </c>
      <c r="E9" s="36" t="s">
        <v>11</v>
      </c>
      <c r="F9" s="42" t="s">
        <v>12</v>
      </c>
      <c r="G9" s="42" t="s">
        <v>13</v>
      </c>
      <c r="H9" s="61" t="s">
        <v>14</v>
      </c>
      <c r="I9" s="26"/>
      <c r="J9" s="31" t="str">
        <f t="shared" ref="J9:AO9" ca="1" si="3">LEFT(TEXT(J8,"ddd"),1)</f>
        <v>d</v>
      </c>
      <c r="K9" s="31" t="str">
        <f t="shared" ca="1" si="3"/>
        <v>s</v>
      </c>
      <c r="L9" s="31" t="str">
        <f t="shared" ca="1" si="3"/>
        <v>t</v>
      </c>
      <c r="M9" s="31" t="str">
        <f t="shared" ca="1" si="3"/>
        <v>q</v>
      </c>
      <c r="N9" s="31" t="str">
        <f t="shared" ca="1" si="3"/>
        <v>q</v>
      </c>
      <c r="O9" s="31" t="str">
        <f t="shared" ca="1" si="3"/>
        <v>s</v>
      </c>
      <c r="P9" s="31" t="str">
        <f t="shared" ca="1" si="3"/>
        <v>s</v>
      </c>
      <c r="Q9" s="31" t="str">
        <f t="shared" ca="1" si="3"/>
        <v>d</v>
      </c>
      <c r="R9" s="31" t="str">
        <f t="shared" ca="1" si="3"/>
        <v>s</v>
      </c>
      <c r="S9" s="31" t="str">
        <f t="shared" ca="1" si="3"/>
        <v>t</v>
      </c>
      <c r="T9" s="31" t="str">
        <f t="shared" ca="1" si="3"/>
        <v>q</v>
      </c>
      <c r="U9" s="31" t="str">
        <f t="shared" ca="1" si="3"/>
        <v>q</v>
      </c>
      <c r="V9" s="31" t="str">
        <f t="shared" ca="1" si="3"/>
        <v>s</v>
      </c>
      <c r="W9" s="31" t="str">
        <f t="shared" ca="1" si="3"/>
        <v>s</v>
      </c>
      <c r="X9" s="31" t="str">
        <f t="shared" ca="1" si="3"/>
        <v>d</v>
      </c>
      <c r="Y9" s="31" t="str">
        <f t="shared" ca="1" si="3"/>
        <v>s</v>
      </c>
      <c r="Z9" s="31" t="str">
        <f t="shared" ca="1" si="3"/>
        <v>t</v>
      </c>
      <c r="AA9" s="31" t="str">
        <f t="shared" ca="1" si="3"/>
        <v>q</v>
      </c>
      <c r="AB9" s="31" t="str">
        <f t="shared" ca="1" si="3"/>
        <v>q</v>
      </c>
      <c r="AC9" s="31" t="str">
        <f t="shared" ca="1" si="3"/>
        <v>s</v>
      </c>
      <c r="AD9" s="31" t="str">
        <f t="shared" ca="1" si="3"/>
        <v>s</v>
      </c>
      <c r="AE9" s="31" t="str">
        <f t="shared" ca="1" si="3"/>
        <v>d</v>
      </c>
      <c r="AF9" s="31" t="str">
        <f t="shared" ca="1" si="3"/>
        <v>s</v>
      </c>
      <c r="AG9" s="31" t="str">
        <f t="shared" ca="1" si="3"/>
        <v>t</v>
      </c>
      <c r="AH9" s="31" t="str">
        <f t="shared" ca="1" si="3"/>
        <v>q</v>
      </c>
      <c r="AI9" s="31" t="str">
        <f t="shared" ca="1" si="3"/>
        <v>q</v>
      </c>
      <c r="AJ9" s="31" t="str">
        <f t="shared" ca="1" si="3"/>
        <v>s</v>
      </c>
      <c r="AK9" s="31" t="str">
        <f t="shared" ca="1" si="3"/>
        <v>s</v>
      </c>
      <c r="AL9" s="31" t="str">
        <f t="shared" ca="1" si="3"/>
        <v>d</v>
      </c>
      <c r="AM9" s="31" t="str">
        <f t="shared" ca="1" si="3"/>
        <v>s</v>
      </c>
      <c r="AN9" s="31" t="str">
        <f t="shared" ca="1" si="3"/>
        <v>t</v>
      </c>
      <c r="AO9" s="31" t="str">
        <f t="shared" ca="1" si="3"/>
        <v>q</v>
      </c>
      <c r="AP9" s="31" t="str">
        <f t="shared" ref="AP9:BM9" ca="1" si="4">LEFT(TEXT(AP8,"ddd"),1)</f>
        <v>q</v>
      </c>
      <c r="AQ9" s="31" t="str">
        <f t="shared" ca="1" si="4"/>
        <v>s</v>
      </c>
      <c r="AR9" s="31" t="str">
        <f t="shared" ca="1" si="4"/>
        <v>s</v>
      </c>
      <c r="AS9" s="31" t="str">
        <f t="shared" ca="1" si="4"/>
        <v>d</v>
      </c>
      <c r="AT9" s="31" t="str">
        <f t="shared" ca="1" si="4"/>
        <v>s</v>
      </c>
      <c r="AU9" s="31" t="str">
        <f t="shared" ca="1" si="4"/>
        <v>t</v>
      </c>
      <c r="AV9" s="31" t="str">
        <f t="shared" ca="1" si="4"/>
        <v>q</v>
      </c>
      <c r="AW9" s="31" t="str">
        <f t="shared" ca="1" si="4"/>
        <v>q</v>
      </c>
      <c r="AX9" s="31" t="str">
        <f t="shared" ca="1" si="4"/>
        <v>s</v>
      </c>
      <c r="AY9" s="31" t="str">
        <f t="shared" ca="1" si="4"/>
        <v>s</v>
      </c>
      <c r="AZ9" s="31" t="str">
        <f t="shared" ca="1" si="4"/>
        <v>d</v>
      </c>
      <c r="BA9" s="31" t="str">
        <f t="shared" ca="1" si="4"/>
        <v>s</v>
      </c>
      <c r="BB9" s="31" t="str">
        <f t="shared" ca="1" si="4"/>
        <v>t</v>
      </c>
      <c r="BC9" s="31" t="str">
        <f t="shared" ca="1" si="4"/>
        <v>q</v>
      </c>
      <c r="BD9" s="31" t="str">
        <f t="shared" ca="1" si="4"/>
        <v>q</v>
      </c>
      <c r="BE9" s="31" t="str">
        <f t="shared" ca="1" si="4"/>
        <v>s</v>
      </c>
      <c r="BF9" s="31" t="str">
        <f t="shared" ca="1" si="4"/>
        <v>s</v>
      </c>
      <c r="BG9" s="31" t="str">
        <f t="shared" ca="1" si="4"/>
        <v>d</v>
      </c>
      <c r="BH9" s="31" t="str">
        <f t="shared" ca="1" si="4"/>
        <v>s</v>
      </c>
      <c r="BI9" s="31" t="str">
        <f t="shared" ca="1" si="4"/>
        <v>t</v>
      </c>
      <c r="BJ9" s="31" t="str">
        <f t="shared" ca="1" si="4"/>
        <v>q</v>
      </c>
      <c r="BK9" s="31" t="str">
        <f t="shared" ca="1" si="4"/>
        <v>q</v>
      </c>
      <c r="BL9" s="31" t="str">
        <f t="shared" ca="1" si="4"/>
        <v>s</v>
      </c>
      <c r="BM9" s="31" t="str">
        <f t="shared" ca="1" si="4"/>
        <v>s</v>
      </c>
    </row>
    <row r="10" spans="1:69" s="1" customFormat="1" ht="18.75" customHeight="1" x14ac:dyDescent="0.3">
      <c r="A10" s="4"/>
      <c r="B10" s="44" t="s">
        <v>15</v>
      </c>
      <c r="C10" s="43"/>
      <c r="D10" s="44" t="s">
        <v>16</v>
      </c>
      <c r="E10" s="8">
        <v>0.9</v>
      </c>
      <c r="F10" s="9">
        <v>46083</v>
      </c>
      <c r="G10" s="10">
        <v>3</v>
      </c>
      <c r="H10" s="62"/>
      <c r="I10" s="7"/>
      <c r="J10" s="5" t="str">
        <f t="shared" ref="J10:Y30" ca="1" si="5">IF(AND($C10="Objetivo",J$8&gt;=$F10,J$8&lt;=$F10+$G10-1),2,IF(AND($C10="Marco",J$8&gt;=$F10,J$8&lt;=$F10+$G10-1),1,""))</f>
        <v/>
      </c>
      <c r="K10" s="5" t="str">
        <f t="shared" ca="1" si="5"/>
        <v/>
      </c>
      <c r="L10" s="5" t="str">
        <f t="shared" ca="1" si="5"/>
        <v/>
      </c>
      <c r="M10" s="5" t="str">
        <f t="shared" ca="1" si="5"/>
        <v/>
      </c>
      <c r="N10" s="5" t="str">
        <f t="shared" ca="1" si="5"/>
        <v/>
      </c>
      <c r="O10" s="5" t="str">
        <f t="shared" ca="1" si="5"/>
        <v/>
      </c>
      <c r="P10" s="5" t="str">
        <f t="shared" ca="1" si="5"/>
        <v/>
      </c>
      <c r="Q10" s="5" t="str">
        <f t="shared" ca="1" si="5"/>
        <v/>
      </c>
      <c r="R10" s="5" t="str">
        <f t="shared" ca="1" si="5"/>
        <v/>
      </c>
      <c r="S10" s="5" t="str">
        <f t="shared" ca="1" si="5"/>
        <v/>
      </c>
      <c r="T10" s="5" t="str">
        <f t="shared" ca="1" si="5"/>
        <v/>
      </c>
      <c r="U10" s="5" t="str">
        <f t="shared" ca="1" si="5"/>
        <v/>
      </c>
      <c r="V10" s="5" t="str">
        <f t="shared" ca="1" si="5"/>
        <v/>
      </c>
      <c r="W10" s="5" t="str">
        <f t="shared" ca="1" si="5"/>
        <v/>
      </c>
      <c r="X10" s="5" t="str">
        <f t="shared" ca="1" si="5"/>
        <v/>
      </c>
      <c r="Y10" s="5" t="str">
        <f t="shared" ca="1" si="5"/>
        <v/>
      </c>
      <c r="Z10" s="5" t="str">
        <f t="shared" ref="Z10:BM23" ca="1" si="6">IF(AND($C10="Objetivo",Z$8&gt;=$F10,Z$8&lt;=$F10+$G10-1),2,IF(AND($C10="Marco",Z$8&gt;=$F10,Z$8&lt;=$F10+$G10-1),1,""))</f>
        <v/>
      </c>
      <c r="AA10" s="5" t="str">
        <f t="shared" ca="1" si="6"/>
        <v/>
      </c>
      <c r="AB10" s="5" t="str">
        <f t="shared" ca="1" si="6"/>
        <v/>
      </c>
      <c r="AC10" s="5" t="str">
        <f t="shared" ca="1" si="6"/>
        <v/>
      </c>
      <c r="AD10" s="5" t="str">
        <f t="shared" ca="1" si="6"/>
        <v/>
      </c>
      <c r="AE10" s="5" t="str">
        <f t="shared" ca="1" si="6"/>
        <v/>
      </c>
      <c r="AF10" s="5" t="str">
        <f t="shared" ca="1" si="6"/>
        <v/>
      </c>
      <c r="AG10" s="5" t="str">
        <f t="shared" ca="1" si="6"/>
        <v/>
      </c>
      <c r="AH10" s="5" t="str">
        <f t="shared" ca="1" si="6"/>
        <v/>
      </c>
      <c r="AI10" s="5" t="str">
        <f t="shared" ca="1" si="6"/>
        <v/>
      </c>
      <c r="AJ10" s="5" t="str">
        <f t="shared" ca="1" si="6"/>
        <v/>
      </c>
      <c r="AK10" s="5" t="str">
        <f t="shared" ca="1" si="6"/>
        <v/>
      </c>
      <c r="AL10" s="5" t="str">
        <f t="shared" ca="1" si="6"/>
        <v/>
      </c>
      <c r="AM10" s="5" t="str">
        <f t="shared" ca="1" si="6"/>
        <v/>
      </c>
      <c r="AN10" s="5" t="str">
        <f t="shared" ca="1" si="6"/>
        <v/>
      </c>
      <c r="AO10" s="5" t="str">
        <f t="shared" ca="1" si="6"/>
        <v/>
      </c>
      <c r="AP10" s="5" t="str">
        <f t="shared" ca="1" si="6"/>
        <v/>
      </c>
      <c r="AQ10" s="5" t="str">
        <f t="shared" ca="1" si="6"/>
        <v/>
      </c>
      <c r="AR10" s="5" t="str">
        <f t="shared" ca="1" si="6"/>
        <v/>
      </c>
      <c r="AS10" s="5" t="str">
        <f t="shared" ca="1" si="6"/>
        <v/>
      </c>
      <c r="AT10" s="5" t="str">
        <f t="shared" ca="1" si="6"/>
        <v/>
      </c>
      <c r="AU10" s="5" t="str">
        <f t="shared" ca="1" si="6"/>
        <v/>
      </c>
      <c r="AV10" s="5" t="str">
        <f t="shared" ca="1" si="6"/>
        <v/>
      </c>
      <c r="AW10" s="5" t="str">
        <f t="shared" ca="1" si="6"/>
        <v/>
      </c>
      <c r="AX10" s="5" t="str">
        <f t="shared" ca="1" si="6"/>
        <v/>
      </c>
      <c r="AY10" s="5" t="str">
        <f t="shared" ca="1" si="6"/>
        <v/>
      </c>
      <c r="AZ10" s="5" t="str">
        <f t="shared" ca="1" si="6"/>
        <v/>
      </c>
      <c r="BA10" s="5" t="str">
        <f t="shared" ca="1" si="6"/>
        <v/>
      </c>
      <c r="BB10" s="5" t="str">
        <f t="shared" ca="1" si="6"/>
        <v/>
      </c>
      <c r="BC10" s="5" t="str">
        <f t="shared" ca="1" si="6"/>
        <v/>
      </c>
      <c r="BD10" s="5" t="str">
        <f t="shared" ca="1" si="6"/>
        <v/>
      </c>
      <c r="BE10" s="5" t="str">
        <f t="shared" ca="1" si="6"/>
        <v/>
      </c>
      <c r="BF10" s="5" t="str">
        <f t="shared" ca="1" si="6"/>
        <v/>
      </c>
      <c r="BG10" s="5" t="str">
        <f t="shared" ca="1" si="6"/>
        <v/>
      </c>
      <c r="BH10" s="5" t="str">
        <f t="shared" ca="1" si="6"/>
        <v/>
      </c>
      <c r="BI10" s="5" t="str">
        <f t="shared" ca="1" si="6"/>
        <v/>
      </c>
      <c r="BJ10" s="5" t="str">
        <f t="shared" ca="1" si="6"/>
        <v/>
      </c>
      <c r="BK10" s="5" t="str">
        <f t="shared" ca="1" si="6"/>
        <v/>
      </c>
      <c r="BL10" s="5" t="str">
        <f t="shared" ca="1" si="6"/>
        <v/>
      </c>
      <c r="BM10" s="5" t="str">
        <f t="shared" ca="1" si="6"/>
        <v/>
      </c>
      <c r="BQ10" s="6"/>
    </row>
    <row r="11" spans="1:69" s="1" customFormat="1" ht="18.75" customHeight="1" x14ac:dyDescent="0.3">
      <c r="A11" s="4"/>
      <c r="B11" s="44" t="s">
        <v>17</v>
      </c>
      <c r="C11" s="43"/>
      <c r="D11" s="44" t="s">
        <v>16</v>
      </c>
      <c r="E11" s="8">
        <v>1</v>
      </c>
      <c r="F11" s="9">
        <v>46083</v>
      </c>
      <c r="G11" s="10">
        <v>24</v>
      </c>
      <c r="H11" s="62"/>
      <c r="I11" s="7"/>
      <c r="J11" s="5" t="str">
        <f t="shared" ca="1" si="5"/>
        <v/>
      </c>
      <c r="K11" s="5" t="str">
        <f t="shared" ca="1" si="5"/>
        <v/>
      </c>
      <c r="L11" s="5" t="str">
        <f t="shared" ca="1" si="5"/>
        <v/>
      </c>
      <c r="M11" s="5" t="str">
        <f t="shared" ca="1" si="5"/>
        <v/>
      </c>
      <c r="N11" s="5" t="str">
        <f t="shared" ca="1" si="5"/>
        <v/>
      </c>
      <c r="O11" s="5" t="str">
        <f t="shared" ca="1" si="5"/>
        <v/>
      </c>
      <c r="P11" s="5" t="str">
        <f t="shared" ca="1" si="5"/>
        <v/>
      </c>
      <c r="Q11" s="5" t="str">
        <f t="shared" ca="1" si="5"/>
        <v/>
      </c>
      <c r="R11" s="5" t="str">
        <f t="shared" ca="1" si="5"/>
        <v/>
      </c>
      <c r="S11" s="5" t="str">
        <f t="shared" ca="1" si="5"/>
        <v/>
      </c>
      <c r="T11" s="5" t="str">
        <f t="shared" ca="1" si="5"/>
        <v/>
      </c>
      <c r="U11" s="5" t="str">
        <f t="shared" ca="1" si="5"/>
        <v/>
      </c>
      <c r="V11" s="5" t="str">
        <f t="shared" ca="1" si="5"/>
        <v/>
      </c>
      <c r="W11" s="5" t="str">
        <f t="shared" ca="1" si="5"/>
        <v/>
      </c>
      <c r="X11" s="5" t="str">
        <f t="shared" ca="1" si="5"/>
        <v/>
      </c>
      <c r="Y11" s="5" t="str">
        <f t="shared" ca="1" si="5"/>
        <v/>
      </c>
      <c r="Z11" s="5" t="str">
        <f t="shared" ca="1" si="6"/>
        <v/>
      </c>
      <c r="AA11" s="5" t="str">
        <f t="shared" ca="1" si="6"/>
        <v/>
      </c>
      <c r="AB11" s="5" t="str">
        <f t="shared" ca="1" si="6"/>
        <v/>
      </c>
      <c r="AC11" s="5" t="str">
        <f t="shared" ca="1" si="6"/>
        <v/>
      </c>
      <c r="AD11" s="5" t="str">
        <f t="shared" ca="1" si="6"/>
        <v/>
      </c>
      <c r="AE11" s="5" t="str">
        <f t="shared" ca="1" si="6"/>
        <v/>
      </c>
      <c r="AF11" s="5" t="str">
        <f t="shared" ca="1" si="6"/>
        <v/>
      </c>
      <c r="AG11" s="5" t="str">
        <f t="shared" ca="1" si="6"/>
        <v/>
      </c>
      <c r="AH11" s="5" t="str">
        <f t="shared" ca="1" si="6"/>
        <v/>
      </c>
      <c r="AI11" s="5" t="str">
        <f t="shared" ca="1" si="6"/>
        <v/>
      </c>
      <c r="AJ11" s="5" t="str">
        <f t="shared" ca="1" si="6"/>
        <v/>
      </c>
      <c r="AK11" s="5" t="str">
        <f t="shared" ca="1" si="6"/>
        <v/>
      </c>
      <c r="AL11" s="5" t="str">
        <f t="shared" ca="1" si="6"/>
        <v/>
      </c>
      <c r="AM11" s="5" t="str">
        <f t="shared" ca="1" si="6"/>
        <v/>
      </c>
      <c r="AN11" s="5" t="str">
        <f t="shared" ca="1" si="6"/>
        <v/>
      </c>
      <c r="AO11" s="5" t="str">
        <f t="shared" ca="1" si="6"/>
        <v/>
      </c>
      <c r="AP11" s="5" t="str">
        <f t="shared" ca="1" si="6"/>
        <v/>
      </c>
      <c r="AQ11" s="5" t="str">
        <f t="shared" ca="1" si="6"/>
        <v/>
      </c>
      <c r="AR11" s="5" t="str">
        <f t="shared" ca="1" si="6"/>
        <v/>
      </c>
      <c r="AS11" s="5" t="str">
        <f t="shared" ca="1" si="6"/>
        <v/>
      </c>
      <c r="AT11" s="5" t="str">
        <f t="shared" ca="1" si="6"/>
        <v/>
      </c>
      <c r="AU11" s="5" t="str">
        <f t="shared" ca="1" si="6"/>
        <v/>
      </c>
      <c r="AV11" s="5" t="str">
        <f t="shared" ca="1" si="6"/>
        <v/>
      </c>
      <c r="AW11" s="5" t="str">
        <f t="shared" ca="1" si="6"/>
        <v/>
      </c>
      <c r="AX11" s="5" t="str">
        <f t="shared" ca="1" si="6"/>
        <v/>
      </c>
      <c r="AY11" s="5" t="str">
        <f t="shared" ca="1" si="6"/>
        <v/>
      </c>
      <c r="AZ11" s="5" t="str">
        <f t="shared" ca="1" si="6"/>
        <v/>
      </c>
      <c r="BA11" s="5" t="str">
        <f t="shared" ca="1" si="6"/>
        <v/>
      </c>
      <c r="BB11" s="5" t="str">
        <f t="shared" ca="1" si="6"/>
        <v/>
      </c>
      <c r="BC11" s="5" t="str">
        <f t="shared" ca="1" si="6"/>
        <v/>
      </c>
      <c r="BD11" s="5" t="str">
        <f t="shared" ca="1" si="6"/>
        <v/>
      </c>
      <c r="BE11" s="5" t="str">
        <f t="shared" ca="1" si="6"/>
        <v/>
      </c>
      <c r="BF11" s="5" t="str">
        <f t="shared" ca="1" si="6"/>
        <v/>
      </c>
      <c r="BG11" s="5" t="str">
        <f t="shared" ca="1" si="6"/>
        <v/>
      </c>
      <c r="BH11" s="5" t="str">
        <f t="shared" ca="1" si="6"/>
        <v/>
      </c>
      <c r="BI11" s="5" t="str">
        <f t="shared" ca="1" si="6"/>
        <v/>
      </c>
      <c r="BJ11" s="5" t="str">
        <f t="shared" ca="1" si="6"/>
        <v/>
      </c>
      <c r="BK11" s="5" t="str">
        <f t="shared" ca="1" si="6"/>
        <v/>
      </c>
      <c r="BL11" s="5" t="str">
        <f t="shared" ca="1" si="6"/>
        <v/>
      </c>
      <c r="BM11" s="5" t="str">
        <f t="shared" ca="1" si="6"/>
        <v/>
      </c>
    </row>
    <row r="12" spans="1:69" s="1" customFormat="1" ht="18.75" customHeight="1" x14ac:dyDescent="0.3">
      <c r="A12" s="4"/>
      <c r="B12" s="44" t="s">
        <v>18</v>
      </c>
      <c r="C12" s="43"/>
      <c r="D12" s="44" t="s">
        <v>19</v>
      </c>
      <c r="E12" s="8"/>
      <c r="F12" s="9">
        <v>46108</v>
      </c>
      <c r="G12" s="10">
        <v>1</v>
      </c>
      <c r="H12" s="62">
        <v>1</v>
      </c>
      <c r="I12" s="7"/>
      <c r="J12" s="5" t="str">
        <f t="shared" ref="J12:AO12" ca="1" si="7">IF(AND($C12="Objetivo",J$8&gt;=$F12,J$8&lt;=$F12+$G12-1),2,IF(AND($C12="Marco",J$8&gt;=$F12,J$8&lt;=$F12+$G12-1),1,""))</f>
        <v/>
      </c>
      <c r="K12" s="5" t="str">
        <f t="shared" ca="1" si="7"/>
        <v/>
      </c>
      <c r="L12" s="5" t="str">
        <f t="shared" ca="1" si="7"/>
        <v/>
      </c>
      <c r="M12" s="5" t="str">
        <f t="shared" ca="1" si="7"/>
        <v/>
      </c>
      <c r="N12" s="5" t="str">
        <f t="shared" ca="1" si="7"/>
        <v/>
      </c>
      <c r="O12" s="5" t="str">
        <f t="shared" ca="1" si="7"/>
        <v/>
      </c>
      <c r="P12" s="5" t="str">
        <f t="shared" ca="1" si="7"/>
        <v/>
      </c>
      <c r="Q12" s="5" t="str">
        <f t="shared" ca="1" si="7"/>
        <v/>
      </c>
      <c r="R12" s="5" t="str">
        <f t="shared" ca="1" si="7"/>
        <v/>
      </c>
      <c r="S12" s="5" t="str">
        <f t="shared" ca="1" si="7"/>
        <v/>
      </c>
      <c r="T12" s="5" t="str">
        <f t="shared" ca="1" si="7"/>
        <v/>
      </c>
      <c r="U12" s="5" t="str">
        <f t="shared" ca="1" si="7"/>
        <v/>
      </c>
      <c r="V12" s="5" t="str">
        <f t="shared" ca="1" si="7"/>
        <v/>
      </c>
      <c r="W12" s="5" t="str">
        <f t="shared" ca="1" si="7"/>
        <v/>
      </c>
      <c r="X12" s="5" t="str">
        <f t="shared" ca="1" si="7"/>
        <v/>
      </c>
      <c r="Y12" s="5" t="str">
        <f t="shared" ca="1" si="7"/>
        <v/>
      </c>
      <c r="Z12" s="5" t="str">
        <f t="shared" ca="1" si="7"/>
        <v/>
      </c>
      <c r="AA12" s="5" t="str">
        <f t="shared" ca="1" si="7"/>
        <v/>
      </c>
      <c r="AB12" s="5" t="str">
        <f t="shared" ca="1" si="7"/>
        <v/>
      </c>
      <c r="AC12" s="5" t="str">
        <f t="shared" ca="1" si="7"/>
        <v/>
      </c>
      <c r="AD12" s="5" t="str">
        <f t="shared" ca="1" si="7"/>
        <v/>
      </c>
      <c r="AE12" s="5" t="str">
        <f t="shared" ca="1" si="7"/>
        <v/>
      </c>
      <c r="AF12" s="5" t="str">
        <f t="shared" ca="1" si="7"/>
        <v/>
      </c>
      <c r="AG12" s="5" t="str">
        <f t="shared" ca="1" si="7"/>
        <v/>
      </c>
      <c r="AH12" s="5" t="str">
        <f t="shared" ca="1" si="7"/>
        <v/>
      </c>
      <c r="AI12" s="5" t="str">
        <f t="shared" ca="1" si="7"/>
        <v/>
      </c>
      <c r="AJ12" s="5" t="str">
        <f t="shared" ca="1" si="7"/>
        <v/>
      </c>
      <c r="AK12" s="5" t="str">
        <f t="shared" ca="1" si="7"/>
        <v/>
      </c>
      <c r="AL12" s="5" t="str">
        <f t="shared" ca="1" si="7"/>
        <v/>
      </c>
      <c r="AM12" s="5" t="str">
        <f t="shared" ca="1" si="7"/>
        <v/>
      </c>
      <c r="AN12" s="5" t="str">
        <f t="shared" ca="1" si="7"/>
        <v/>
      </c>
      <c r="AO12" s="5" t="str">
        <f t="shared" ca="1" si="7"/>
        <v/>
      </c>
      <c r="AP12" s="5" t="str">
        <f t="shared" ca="1" si="6"/>
        <v/>
      </c>
      <c r="AQ12" s="5" t="str">
        <f t="shared" ca="1" si="6"/>
        <v/>
      </c>
      <c r="AR12" s="5" t="str">
        <f t="shared" ca="1" si="6"/>
        <v/>
      </c>
      <c r="AS12" s="5" t="str">
        <f t="shared" ca="1" si="6"/>
        <v/>
      </c>
      <c r="AT12" s="5" t="str">
        <f t="shared" ca="1" si="6"/>
        <v/>
      </c>
      <c r="AU12" s="5" t="str">
        <f t="shared" ca="1" si="6"/>
        <v/>
      </c>
      <c r="AV12" s="5" t="str">
        <f t="shared" ca="1" si="6"/>
        <v/>
      </c>
      <c r="AW12" s="5" t="str">
        <f t="shared" ca="1" si="6"/>
        <v/>
      </c>
      <c r="AX12" s="5" t="str">
        <f t="shared" ca="1" si="6"/>
        <v/>
      </c>
      <c r="AY12" s="5" t="str">
        <f t="shared" ca="1" si="6"/>
        <v/>
      </c>
      <c r="AZ12" s="5" t="str">
        <f t="shared" ca="1" si="6"/>
        <v/>
      </c>
      <c r="BA12" s="5" t="str">
        <f t="shared" ca="1" si="6"/>
        <v/>
      </c>
      <c r="BB12" s="5" t="str">
        <f t="shared" ca="1" si="6"/>
        <v/>
      </c>
      <c r="BC12" s="5" t="str">
        <f t="shared" ca="1" si="6"/>
        <v/>
      </c>
      <c r="BD12" s="5" t="str">
        <f t="shared" ca="1" si="6"/>
        <v/>
      </c>
      <c r="BE12" s="5" t="str">
        <f t="shared" ca="1" si="6"/>
        <v/>
      </c>
      <c r="BF12" s="5" t="str">
        <f t="shared" ca="1" si="6"/>
        <v/>
      </c>
      <c r="BG12" s="5" t="str">
        <f t="shared" ca="1" si="6"/>
        <v/>
      </c>
      <c r="BH12" s="5" t="str">
        <f t="shared" ca="1" si="6"/>
        <v/>
      </c>
      <c r="BI12" s="5" t="str">
        <f t="shared" ca="1" si="6"/>
        <v/>
      </c>
      <c r="BJ12" s="5" t="str">
        <f t="shared" ca="1" si="6"/>
        <v/>
      </c>
      <c r="BK12" s="5" t="str">
        <f t="shared" ca="1" si="6"/>
        <v/>
      </c>
      <c r="BL12" s="5" t="str">
        <f t="shared" ca="1" si="6"/>
        <v/>
      </c>
      <c r="BM12" s="5" t="str">
        <f t="shared" ca="1" si="6"/>
        <v/>
      </c>
    </row>
    <row r="13" spans="1:69" s="1" customFormat="1" ht="18.75" customHeight="1" x14ac:dyDescent="0.3">
      <c r="A13" s="4"/>
      <c r="B13" s="44" t="s">
        <v>20</v>
      </c>
      <c r="C13" s="43"/>
      <c r="D13" s="44" t="s">
        <v>21</v>
      </c>
      <c r="E13" s="8"/>
      <c r="F13" s="9">
        <v>46111</v>
      </c>
      <c r="G13" s="10">
        <v>2</v>
      </c>
      <c r="H13" s="62">
        <v>2</v>
      </c>
      <c r="I13" s="7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</row>
    <row r="14" spans="1:69" s="1" customFormat="1" ht="18.75" customHeight="1" x14ac:dyDescent="0.3">
      <c r="A14" s="4"/>
      <c r="B14" s="44" t="s">
        <v>22</v>
      </c>
      <c r="C14" s="43"/>
      <c r="D14" s="44" t="s">
        <v>23</v>
      </c>
      <c r="E14" s="8"/>
      <c r="F14" s="9">
        <v>46111</v>
      </c>
      <c r="G14" s="10">
        <v>3</v>
      </c>
      <c r="H14" s="62">
        <v>3</v>
      </c>
      <c r="I14" s="7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</row>
    <row r="15" spans="1:69" s="1" customFormat="1" ht="18.75" customHeight="1" x14ac:dyDescent="0.3">
      <c r="A15" s="4"/>
      <c r="B15" s="44" t="s">
        <v>24</v>
      </c>
      <c r="C15" s="43"/>
      <c r="D15" s="44" t="s">
        <v>16</v>
      </c>
      <c r="E15" s="8"/>
      <c r="F15" s="9">
        <v>46111</v>
      </c>
      <c r="G15" s="10">
        <v>1</v>
      </c>
      <c r="H15" s="62">
        <v>1</v>
      </c>
      <c r="I15" s="7"/>
      <c r="J15" s="5" t="str">
        <f t="shared" ca="1" si="5"/>
        <v/>
      </c>
      <c r="K15" s="5" t="str">
        <f t="shared" ca="1" si="5"/>
        <v/>
      </c>
      <c r="L15" s="5" t="str">
        <f t="shared" ca="1" si="5"/>
        <v/>
      </c>
      <c r="M15" s="5" t="str">
        <f t="shared" ca="1" si="5"/>
        <v/>
      </c>
      <c r="N15" s="5" t="str">
        <f t="shared" ca="1" si="5"/>
        <v/>
      </c>
      <c r="O15" s="5" t="str">
        <f t="shared" ca="1" si="5"/>
        <v/>
      </c>
      <c r="P15" s="5" t="str">
        <f t="shared" ca="1" si="5"/>
        <v/>
      </c>
      <c r="Q15" s="5" t="str">
        <f t="shared" ca="1" si="5"/>
        <v/>
      </c>
      <c r="R15" s="5" t="str">
        <f t="shared" ca="1" si="5"/>
        <v/>
      </c>
      <c r="S15" s="5" t="str">
        <f t="shared" ca="1" si="5"/>
        <v/>
      </c>
      <c r="T15" s="5" t="str">
        <f t="shared" ca="1" si="5"/>
        <v/>
      </c>
      <c r="U15" s="5" t="str">
        <f t="shared" ca="1" si="5"/>
        <v/>
      </c>
      <c r="V15" s="5" t="str">
        <f t="shared" ca="1" si="5"/>
        <v/>
      </c>
      <c r="W15" s="5" t="str">
        <f t="shared" ca="1" si="5"/>
        <v/>
      </c>
      <c r="X15" s="5" t="str">
        <f t="shared" ca="1" si="5"/>
        <v/>
      </c>
      <c r="Y15" s="5" t="str">
        <f t="shared" ca="1" si="5"/>
        <v/>
      </c>
      <c r="Z15" s="5" t="str">
        <f t="shared" ca="1" si="6"/>
        <v/>
      </c>
      <c r="AA15" s="5" t="str">
        <f t="shared" ca="1" si="6"/>
        <v/>
      </c>
      <c r="AB15" s="5" t="str">
        <f t="shared" ca="1" si="6"/>
        <v/>
      </c>
      <c r="AC15" s="5" t="str">
        <f t="shared" ca="1" si="6"/>
        <v/>
      </c>
      <c r="AD15" s="5" t="str">
        <f t="shared" ca="1" si="6"/>
        <v/>
      </c>
      <c r="AE15" s="5" t="str">
        <f t="shared" ca="1" si="6"/>
        <v/>
      </c>
      <c r="AF15" s="5" t="str">
        <f t="shared" ca="1" si="6"/>
        <v/>
      </c>
      <c r="AG15" s="5" t="str">
        <f t="shared" ca="1" si="6"/>
        <v/>
      </c>
      <c r="AH15" s="5" t="str">
        <f t="shared" ca="1" si="6"/>
        <v/>
      </c>
      <c r="AI15" s="5" t="str">
        <f t="shared" ca="1" si="6"/>
        <v/>
      </c>
      <c r="AJ15" s="5" t="str">
        <f t="shared" ca="1" si="6"/>
        <v/>
      </c>
      <c r="AK15" s="5" t="str">
        <f t="shared" ca="1" si="6"/>
        <v/>
      </c>
      <c r="AL15" s="5" t="str">
        <f t="shared" ca="1" si="6"/>
        <v/>
      </c>
      <c r="AM15" s="5" t="str">
        <f t="shared" ca="1" si="6"/>
        <v/>
      </c>
      <c r="AN15" s="5" t="str">
        <f t="shared" ca="1" si="6"/>
        <v/>
      </c>
      <c r="AO15" s="5" t="str">
        <f t="shared" ca="1" si="6"/>
        <v/>
      </c>
      <c r="AP15" s="5" t="str">
        <f t="shared" ca="1" si="6"/>
        <v/>
      </c>
      <c r="AQ15" s="5" t="str">
        <f t="shared" ca="1" si="6"/>
        <v/>
      </c>
      <c r="AR15" s="5" t="str">
        <f t="shared" ca="1" si="6"/>
        <v/>
      </c>
      <c r="AS15" s="5" t="str">
        <f t="shared" ca="1" si="6"/>
        <v/>
      </c>
      <c r="AT15" s="5" t="str">
        <f t="shared" ca="1" si="6"/>
        <v/>
      </c>
      <c r="AU15" s="5" t="str">
        <f t="shared" ca="1" si="6"/>
        <v/>
      </c>
      <c r="AV15" s="5" t="str">
        <f t="shared" ca="1" si="6"/>
        <v/>
      </c>
      <c r="AW15" s="5" t="str">
        <f t="shared" ca="1" si="6"/>
        <v/>
      </c>
      <c r="AX15" s="5" t="str">
        <f t="shared" ca="1" si="6"/>
        <v/>
      </c>
      <c r="AY15" s="5" t="str">
        <f t="shared" ca="1" si="6"/>
        <v/>
      </c>
      <c r="AZ15" s="5" t="str">
        <f t="shared" ca="1" si="6"/>
        <v/>
      </c>
      <c r="BA15" s="5" t="str">
        <f t="shared" ca="1" si="6"/>
        <v/>
      </c>
      <c r="BB15" s="5" t="str">
        <f t="shared" ca="1" si="6"/>
        <v/>
      </c>
      <c r="BC15" s="5" t="str">
        <f t="shared" ca="1" si="6"/>
        <v/>
      </c>
      <c r="BD15" s="5" t="str">
        <f t="shared" ca="1" si="6"/>
        <v/>
      </c>
      <c r="BE15" s="5" t="str">
        <f t="shared" ca="1" si="6"/>
        <v/>
      </c>
      <c r="BF15" s="5" t="str">
        <f t="shared" ca="1" si="6"/>
        <v/>
      </c>
      <c r="BG15" s="5" t="str">
        <f t="shared" ca="1" si="6"/>
        <v/>
      </c>
      <c r="BH15" s="5" t="str">
        <f t="shared" ca="1" si="6"/>
        <v/>
      </c>
      <c r="BI15" s="5" t="str">
        <f t="shared" ca="1" si="6"/>
        <v/>
      </c>
      <c r="BJ15" s="5" t="str">
        <f t="shared" ca="1" si="6"/>
        <v/>
      </c>
      <c r="BK15" s="5" t="str">
        <f t="shared" ca="1" si="6"/>
        <v/>
      </c>
      <c r="BL15" s="5" t="str">
        <f t="shared" ca="1" si="6"/>
        <v/>
      </c>
      <c r="BM15" s="5" t="str">
        <f t="shared" ca="1" si="6"/>
        <v/>
      </c>
    </row>
    <row r="16" spans="1:69" s="1" customFormat="1" ht="18.75" customHeight="1" x14ac:dyDescent="0.3">
      <c r="A16" s="4"/>
      <c r="B16" s="44" t="s">
        <v>25</v>
      </c>
      <c r="C16" s="43"/>
      <c r="D16" s="44" t="s">
        <v>19</v>
      </c>
      <c r="E16" s="8"/>
      <c r="F16" s="9">
        <v>46111</v>
      </c>
      <c r="G16" s="10">
        <v>2</v>
      </c>
      <c r="H16" s="62">
        <v>2</v>
      </c>
      <c r="I16" s="7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</row>
    <row r="17" spans="1:65" s="1" customFormat="1" ht="18.75" customHeight="1" x14ac:dyDescent="0.3">
      <c r="A17" s="4"/>
      <c r="B17" s="54" t="s">
        <v>26</v>
      </c>
      <c r="C17" s="43"/>
      <c r="D17" s="44" t="s">
        <v>19</v>
      </c>
      <c r="E17" s="8"/>
      <c r="F17" s="9">
        <v>46112</v>
      </c>
      <c r="G17" s="10">
        <v>1</v>
      </c>
      <c r="H17" s="62">
        <v>1</v>
      </c>
      <c r="I17" s="7"/>
      <c r="J17" s="5" t="str">
        <f t="shared" ca="1" si="5"/>
        <v/>
      </c>
      <c r="K17" s="5" t="str">
        <f t="shared" ca="1" si="5"/>
        <v/>
      </c>
      <c r="L17" s="5" t="str">
        <f t="shared" ca="1" si="5"/>
        <v/>
      </c>
      <c r="M17" s="5" t="str">
        <f t="shared" ca="1" si="5"/>
        <v/>
      </c>
      <c r="N17" s="5" t="str">
        <f t="shared" ca="1" si="5"/>
        <v/>
      </c>
      <c r="O17" s="5" t="str">
        <f t="shared" ca="1" si="5"/>
        <v/>
      </c>
      <c r="P17" s="5" t="str">
        <f t="shared" ca="1" si="5"/>
        <v/>
      </c>
      <c r="Q17" s="5" t="str">
        <f t="shared" ca="1" si="5"/>
        <v/>
      </c>
      <c r="R17" s="5" t="str">
        <f t="shared" ca="1" si="5"/>
        <v/>
      </c>
      <c r="S17" s="5" t="str">
        <f t="shared" ca="1" si="5"/>
        <v/>
      </c>
      <c r="T17" s="5" t="str">
        <f t="shared" ca="1" si="5"/>
        <v/>
      </c>
      <c r="U17" s="5" t="str">
        <f t="shared" ca="1" si="5"/>
        <v/>
      </c>
      <c r="V17" s="5" t="str">
        <f t="shared" ca="1" si="5"/>
        <v/>
      </c>
      <c r="W17" s="5" t="str">
        <f t="shared" ca="1" si="5"/>
        <v/>
      </c>
      <c r="X17" s="5" t="str">
        <f t="shared" ca="1" si="5"/>
        <v/>
      </c>
      <c r="Y17" s="5" t="str">
        <f t="shared" ca="1" si="5"/>
        <v/>
      </c>
      <c r="Z17" s="5" t="str">
        <f t="shared" ca="1" si="6"/>
        <v/>
      </c>
      <c r="AA17" s="5" t="str">
        <f t="shared" ca="1" si="6"/>
        <v/>
      </c>
      <c r="AB17" s="5" t="str">
        <f t="shared" ca="1" si="6"/>
        <v/>
      </c>
      <c r="AC17" s="5" t="str">
        <f t="shared" ca="1" si="6"/>
        <v/>
      </c>
      <c r="AD17" s="5" t="str">
        <f t="shared" ca="1" si="6"/>
        <v/>
      </c>
      <c r="AE17" s="5" t="str">
        <f t="shared" ca="1" si="6"/>
        <v/>
      </c>
      <c r="AF17" s="5" t="str">
        <f t="shared" ca="1" si="6"/>
        <v/>
      </c>
      <c r="AG17" s="5" t="str">
        <f t="shared" ca="1" si="6"/>
        <v/>
      </c>
      <c r="AH17" s="5" t="str">
        <f t="shared" ca="1" si="6"/>
        <v/>
      </c>
      <c r="AI17" s="5" t="str">
        <f t="shared" ca="1" si="6"/>
        <v/>
      </c>
      <c r="AJ17" s="5" t="str">
        <f t="shared" ca="1" si="6"/>
        <v/>
      </c>
      <c r="AK17" s="5" t="str">
        <f t="shared" ca="1" si="6"/>
        <v/>
      </c>
      <c r="AL17" s="5" t="str">
        <f t="shared" ca="1" si="6"/>
        <v/>
      </c>
      <c r="AM17" s="5" t="str">
        <f t="shared" ca="1" si="6"/>
        <v/>
      </c>
      <c r="AN17" s="5" t="str">
        <f t="shared" ca="1" si="6"/>
        <v/>
      </c>
      <c r="AO17" s="5" t="str">
        <f t="shared" ca="1" si="6"/>
        <v/>
      </c>
      <c r="AP17" s="5" t="str">
        <f t="shared" ca="1" si="6"/>
        <v/>
      </c>
      <c r="AQ17" s="5" t="str">
        <f t="shared" ca="1" si="6"/>
        <v/>
      </c>
      <c r="AR17" s="5" t="str">
        <f t="shared" ca="1" si="6"/>
        <v/>
      </c>
      <c r="AS17" s="5" t="str">
        <f t="shared" ca="1" si="6"/>
        <v/>
      </c>
      <c r="AT17" s="5" t="str">
        <f t="shared" ca="1" si="6"/>
        <v/>
      </c>
      <c r="AU17" s="5" t="str">
        <f t="shared" ca="1" si="6"/>
        <v/>
      </c>
      <c r="AV17" s="5" t="str">
        <f t="shared" ca="1" si="6"/>
        <v/>
      </c>
      <c r="AW17" s="5" t="str">
        <f t="shared" ca="1" si="6"/>
        <v/>
      </c>
      <c r="AX17" s="5" t="str">
        <f t="shared" ca="1" si="6"/>
        <v/>
      </c>
      <c r="AY17" s="5" t="str">
        <f t="shared" ca="1" si="6"/>
        <v/>
      </c>
      <c r="AZ17" s="5" t="str">
        <f t="shared" ca="1" si="6"/>
        <v/>
      </c>
      <c r="BA17" s="5" t="str">
        <f t="shared" ca="1" si="6"/>
        <v/>
      </c>
      <c r="BB17" s="5" t="str">
        <f t="shared" ca="1" si="6"/>
        <v/>
      </c>
      <c r="BC17" s="5" t="str">
        <f t="shared" ca="1" si="6"/>
        <v/>
      </c>
      <c r="BD17" s="5" t="str">
        <f t="shared" ca="1" si="6"/>
        <v/>
      </c>
      <c r="BE17" s="5" t="str">
        <f t="shared" ca="1" si="6"/>
        <v/>
      </c>
      <c r="BF17" s="5" t="str">
        <f t="shared" ca="1" si="6"/>
        <v/>
      </c>
      <c r="BG17" s="5" t="str">
        <f t="shared" ca="1" si="6"/>
        <v/>
      </c>
      <c r="BH17" s="5" t="str">
        <f t="shared" ca="1" si="6"/>
        <v/>
      </c>
      <c r="BI17" s="5" t="str">
        <f t="shared" ca="1" si="6"/>
        <v/>
      </c>
      <c r="BJ17" s="5" t="str">
        <f t="shared" ca="1" si="6"/>
        <v/>
      </c>
      <c r="BK17" s="5" t="str">
        <f t="shared" ca="1" si="6"/>
        <v/>
      </c>
      <c r="BL17" s="5" t="str">
        <f t="shared" ca="1" si="6"/>
        <v/>
      </c>
      <c r="BM17" s="5" t="str">
        <f t="shared" ca="1" si="6"/>
        <v/>
      </c>
    </row>
    <row r="18" spans="1:65" s="1" customFormat="1" ht="18.75" customHeight="1" x14ac:dyDescent="0.3">
      <c r="A18" s="4"/>
      <c r="B18" s="44" t="s">
        <v>27</v>
      </c>
      <c r="C18" s="43"/>
      <c r="D18" s="44" t="s">
        <v>19</v>
      </c>
      <c r="E18" s="8"/>
      <c r="F18" s="9">
        <v>46113</v>
      </c>
      <c r="G18" s="10">
        <v>1</v>
      </c>
      <c r="H18" s="62">
        <v>0.5</v>
      </c>
      <c r="I18" s="7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</row>
    <row r="19" spans="1:65" s="1" customFormat="1" ht="18.75" customHeight="1" x14ac:dyDescent="0.3">
      <c r="A19" s="4"/>
      <c r="B19" s="44" t="s">
        <v>28</v>
      </c>
      <c r="C19" s="43"/>
      <c r="D19" s="44" t="s">
        <v>19</v>
      </c>
      <c r="E19" s="8"/>
      <c r="F19" s="9">
        <v>46113</v>
      </c>
      <c r="G19" s="10">
        <v>1</v>
      </c>
      <c r="H19" s="62">
        <v>0.2</v>
      </c>
      <c r="I19" s="7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</row>
    <row r="20" spans="1:65" s="1" customFormat="1" ht="18.75" customHeight="1" x14ac:dyDescent="0.3">
      <c r="A20" s="4"/>
      <c r="B20" s="44" t="s">
        <v>29</v>
      </c>
      <c r="C20" s="43"/>
      <c r="D20" s="44" t="s">
        <v>19</v>
      </c>
      <c r="E20" s="8"/>
      <c r="F20" s="9">
        <v>46113</v>
      </c>
      <c r="G20" s="10">
        <v>1</v>
      </c>
      <c r="H20" s="62">
        <v>0.2</v>
      </c>
      <c r="I20" s="7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</row>
    <row r="21" spans="1:65" s="1" customFormat="1" ht="18.75" customHeight="1" x14ac:dyDescent="0.3">
      <c r="A21" s="4"/>
      <c r="B21" s="44" t="s">
        <v>30</v>
      </c>
      <c r="C21" s="43"/>
      <c r="D21" s="44" t="s">
        <v>19</v>
      </c>
      <c r="E21" s="8"/>
      <c r="F21" s="9">
        <v>46114</v>
      </c>
      <c r="G21" s="10">
        <v>1</v>
      </c>
      <c r="H21" s="62">
        <v>0.3</v>
      </c>
      <c r="I21" s="7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</row>
    <row r="22" spans="1:65" s="1" customFormat="1" ht="18.75" customHeight="1" x14ac:dyDescent="0.3">
      <c r="A22" s="4"/>
      <c r="B22" s="44" t="s">
        <v>31</v>
      </c>
      <c r="C22" s="43"/>
      <c r="D22" s="44" t="s">
        <v>23</v>
      </c>
      <c r="E22" s="8"/>
      <c r="F22" s="9">
        <v>46114</v>
      </c>
      <c r="G22" s="10">
        <v>1</v>
      </c>
      <c r="H22" s="62">
        <v>2</v>
      </c>
      <c r="I22" s="7"/>
      <c r="J22" s="5" t="str">
        <f t="shared" ref="J22:AO22" ca="1" si="8">IF(AND($C22="Objetivo",J$8&gt;=$F22,J$8&lt;=$F22+$G22-1),2,IF(AND($C22="Marco",J$8&gt;=$F22,J$8&lt;=$F22+$G22-1),1,""))</f>
        <v/>
      </c>
      <c r="K22" s="5" t="str">
        <f t="shared" ca="1" si="8"/>
        <v/>
      </c>
      <c r="L22" s="5" t="str">
        <f t="shared" ca="1" si="8"/>
        <v/>
      </c>
      <c r="M22" s="5" t="str">
        <f t="shared" ca="1" si="8"/>
        <v/>
      </c>
      <c r="N22" s="5" t="str">
        <f t="shared" ca="1" si="8"/>
        <v/>
      </c>
      <c r="O22" s="5" t="str">
        <f t="shared" ca="1" si="8"/>
        <v/>
      </c>
      <c r="P22" s="5" t="str">
        <f t="shared" ca="1" si="8"/>
        <v/>
      </c>
      <c r="Q22" s="5" t="str">
        <f t="shared" ca="1" si="8"/>
        <v/>
      </c>
      <c r="R22" s="5" t="str">
        <f t="shared" ca="1" si="8"/>
        <v/>
      </c>
      <c r="S22" s="5" t="str">
        <f t="shared" ca="1" si="8"/>
        <v/>
      </c>
      <c r="T22" s="5" t="str">
        <f t="shared" ca="1" si="8"/>
        <v/>
      </c>
      <c r="U22" s="5" t="str">
        <f t="shared" ca="1" si="8"/>
        <v/>
      </c>
      <c r="V22" s="5" t="str">
        <f t="shared" ca="1" si="8"/>
        <v/>
      </c>
      <c r="W22" s="5" t="str">
        <f t="shared" ca="1" si="8"/>
        <v/>
      </c>
      <c r="X22" s="5" t="str">
        <f t="shared" ca="1" si="8"/>
        <v/>
      </c>
      <c r="Y22" s="5" t="str">
        <f t="shared" ca="1" si="8"/>
        <v/>
      </c>
      <c r="Z22" s="5" t="str">
        <f t="shared" ca="1" si="8"/>
        <v/>
      </c>
      <c r="AA22" s="5" t="str">
        <f t="shared" ca="1" si="8"/>
        <v/>
      </c>
      <c r="AB22" s="5" t="str">
        <f t="shared" ca="1" si="8"/>
        <v/>
      </c>
      <c r="AC22" s="5" t="str">
        <f t="shared" ca="1" si="8"/>
        <v/>
      </c>
      <c r="AD22" s="5" t="str">
        <f t="shared" ca="1" si="8"/>
        <v/>
      </c>
      <c r="AE22" s="5" t="str">
        <f t="shared" ca="1" si="8"/>
        <v/>
      </c>
      <c r="AF22" s="5" t="str">
        <f t="shared" ca="1" si="8"/>
        <v/>
      </c>
      <c r="AG22" s="5" t="str">
        <f t="shared" ca="1" si="8"/>
        <v/>
      </c>
      <c r="AH22" s="5" t="str">
        <f t="shared" ca="1" si="8"/>
        <v/>
      </c>
      <c r="AI22" s="5" t="str">
        <f t="shared" ca="1" si="8"/>
        <v/>
      </c>
      <c r="AJ22" s="5" t="str">
        <f t="shared" ca="1" si="8"/>
        <v/>
      </c>
      <c r="AK22" s="5" t="str">
        <f t="shared" ca="1" si="8"/>
        <v/>
      </c>
      <c r="AL22" s="5" t="str">
        <f t="shared" ca="1" si="8"/>
        <v/>
      </c>
      <c r="AM22" s="5" t="str">
        <f t="shared" ca="1" si="8"/>
        <v/>
      </c>
      <c r="AN22" s="5" t="str">
        <f t="shared" ca="1" si="8"/>
        <v/>
      </c>
      <c r="AO22" s="5" t="str">
        <f t="shared" ca="1" si="8"/>
        <v/>
      </c>
      <c r="AP22" s="5" t="str">
        <f t="shared" ref="AP22:BM22" ca="1" si="9">IF(AND($C22="Objetivo",AP$8&gt;=$F22,AP$8&lt;=$F22+$G22-1),2,IF(AND($C22="Marco",AP$8&gt;=$F22,AP$8&lt;=$F22+$G22-1),1,""))</f>
        <v/>
      </c>
      <c r="AQ22" s="5" t="str">
        <f t="shared" ca="1" si="9"/>
        <v/>
      </c>
      <c r="AR22" s="5" t="str">
        <f t="shared" ca="1" si="9"/>
        <v/>
      </c>
      <c r="AS22" s="5" t="str">
        <f t="shared" ca="1" si="9"/>
        <v/>
      </c>
      <c r="AT22" s="5" t="str">
        <f t="shared" ca="1" si="9"/>
        <v/>
      </c>
      <c r="AU22" s="5" t="str">
        <f t="shared" ca="1" si="9"/>
        <v/>
      </c>
      <c r="AV22" s="5" t="str">
        <f t="shared" ca="1" si="9"/>
        <v/>
      </c>
      <c r="AW22" s="5" t="str">
        <f t="shared" ca="1" si="9"/>
        <v/>
      </c>
      <c r="AX22" s="5" t="str">
        <f t="shared" ca="1" si="9"/>
        <v/>
      </c>
      <c r="AY22" s="5" t="str">
        <f t="shared" ca="1" si="9"/>
        <v/>
      </c>
      <c r="AZ22" s="5" t="str">
        <f t="shared" ca="1" si="9"/>
        <v/>
      </c>
      <c r="BA22" s="5" t="str">
        <f t="shared" ca="1" si="9"/>
        <v/>
      </c>
      <c r="BB22" s="5" t="str">
        <f t="shared" ca="1" si="9"/>
        <v/>
      </c>
      <c r="BC22" s="5" t="str">
        <f t="shared" ca="1" si="9"/>
        <v/>
      </c>
      <c r="BD22" s="5" t="str">
        <f t="shared" ca="1" si="9"/>
        <v/>
      </c>
      <c r="BE22" s="5" t="str">
        <f t="shared" ca="1" si="9"/>
        <v/>
      </c>
      <c r="BF22" s="5" t="str">
        <f t="shared" ca="1" si="9"/>
        <v/>
      </c>
      <c r="BG22" s="5" t="str">
        <f t="shared" ca="1" si="9"/>
        <v/>
      </c>
      <c r="BH22" s="5" t="str">
        <f t="shared" ca="1" si="9"/>
        <v/>
      </c>
      <c r="BI22" s="5" t="str">
        <f t="shared" ca="1" si="9"/>
        <v/>
      </c>
      <c r="BJ22" s="5" t="str">
        <f t="shared" ca="1" si="9"/>
        <v/>
      </c>
      <c r="BK22" s="5" t="str">
        <f t="shared" ca="1" si="9"/>
        <v/>
      </c>
      <c r="BL22" s="5" t="str">
        <f t="shared" ca="1" si="9"/>
        <v/>
      </c>
      <c r="BM22" s="5" t="str">
        <f t="shared" ca="1" si="9"/>
        <v/>
      </c>
    </row>
    <row r="23" spans="1:65" s="1" customFormat="1" ht="18.75" customHeight="1" x14ac:dyDescent="0.3">
      <c r="A23" s="4"/>
      <c r="B23" s="44" t="s">
        <v>32</v>
      </c>
      <c r="C23" s="43"/>
      <c r="D23" s="44" t="s">
        <v>23</v>
      </c>
      <c r="E23" s="8"/>
      <c r="F23" s="9">
        <v>46118</v>
      </c>
      <c r="G23" s="10">
        <v>3</v>
      </c>
      <c r="H23" s="62">
        <v>3</v>
      </c>
      <c r="I23" s="7"/>
      <c r="J23" s="5" t="str">
        <f t="shared" ca="1" si="5"/>
        <v/>
      </c>
      <c r="K23" s="5" t="str">
        <f t="shared" ca="1" si="5"/>
        <v/>
      </c>
      <c r="L23" s="5" t="str">
        <f t="shared" ca="1" si="5"/>
        <v/>
      </c>
      <c r="M23" s="5" t="str">
        <f t="shared" ca="1" si="5"/>
        <v/>
      </c>
      <c r="N23" s="5" t="str">
        <f t="shared" ca="1" si="5"/>
        <v/>
      </c>
      <c r="O23" s="5" t="str">
        <f t="shared" ca="1" si="5"/>
        <v/>
      </c>
      <c r="P23" s="5" t="str">
        <f t="shared" ca="1" si="5"/>
        <v/>
      </c>
      <c r="Q23" s="5" t="str">
        <f t="shared" ca="1" si="5"/>
        <v/>
      </c>
      <c r="R23" s="5" t="str">
        <f t="shared" ca="1" si="5"/>
        <v/>
      </c>
      <c r="S23" s="5" t="str">
        <f t="shared" ca="1" si="5"/>
        <v/>
      </c>
      <c r="T23" s="5" t="str">
        <f t="shared" ca="1" si="5"/>
        <v/>
      </c>
      <c r="U23" s="5" t="str">
        <f t="shared" ca="1" si="5"/>
        <v/>
      </c>
      <c r="V23" s="5" t="str">
        <f t="shared" ca="1" si="5"/>
        <v/>
      </c>
      <c r="W23" s="5" t="str">
        <f t="shared" ca="1" si="5"/>
        <v/>
      </c>
      <c r="X23" s="5" t="str">
        <f t="shared" ca="1" si="5"/>
        <v/>
      </c>
      <c r="Y23" s="5" t="str">
        <f t="shared" ca="1" si="5"/>
        <v/>
      </c>
      <c r="Z23" s="5" t="str">
        <f t="shared" ca="1" si="6"/>
        <v/>
      </c>
      <c r="AA23" s="5" t="str">
        <f t="shared" ca="1" si="6"/>
        <v/>
      </c>
      <c r="AB23" s="5" t="str">
        <f t="shared" ca="1" si="6"/>
        <v/>
      </c>
      <c r="AC23" s="5" t="str">
        <f t="shared" ca="1" si="6"/>
        <v/>
      </c>
      <c r="AD23" s="5" t="str">
        <f t="shared" ca="1" si="6"/>
        <v/>
      </c>
      <c r="AE23" s="5" t="str">
        <f t="shared" ca="1" si="6"/>
        <v/>
      </c>
      <c r="AF23" s="5" t="str">
        <f t="shared" ca="1" si="6"/>
        <v/>
      </c>
      <c r="AG23" s="5" t="str">
        <f t="shared" ca="1" si="6"/>
        <v/>
      </c>
      <c r="AH23" s="5" t="str">
        <f t="shared" ca="1" si="6"/>
        <v/>
      </c>
      <c r="AI23" s="5" t="str">
        <f t="shared" ca="1" si="6"/>
        <v/>
      </c>
      <c r="AJ23" s="5" t="str">
        <f t="shared" ca="1" si="6"/>
        <v/>
      </c>
      <c r="AK23" s="5" t="str">
        <f t="shared" ca="1" si="6"/>
        <v/>
      </c>
      <c r="AL23" s="5" t="str">
        <f t="shared" ca="1" si="6"/>
        <v/>
      </c>
      <c r="AM23" s="5" t="str">
        <f t="shared" ca="1" si="6"/>
        <v/>
      </c>
      <c r="AN23" s="5" t="str">
        <f t="shared" ca="1" si="6"/>
        <v/>
      </c>
      <c r="AO23" s="5" t="str">
        <f t="shared" ca="1" si="6"/>
        <v/>
      </c>
      <c r="AP23" s="5" t="str">
        <f t="shared" ca="1" si="6"/>
        <v/>
      </c>
      <c r="AQ23" s="5" t="str">
        <f t="shared" ca="1" si="6"/>
        <v/>
      </c>
      <c r="AR23" s="5" t="str">
        <f t="shared" ca="1" si="6"/>
        <v/>
      </c>
      <c r="AS23" s="5" t="str">
        <f t="shared" ca="1" si="6"/>
        <v/>
      </c>
      <c r="AT23" s="5" t="str">
        <f t="shared" ca="1" si="6"/>
        <v/>
      </c>
      <c r="AU23" s="5" t="str">
        <f t="shared" ca="1" si="6"/>
        <v/>
      </c>
      <c r="AV23" s="5" t="str">
        <f t="shared" ca="1" si="6"/>
        <v/>
      </c>
      <c r="AW23" s="5" t="str">
        <f t="shared" ca="1" si="6"/>
        <v/>
      </c>
      <c r="AX23" s="5" t="str">
        <f t="shared" ca="1" si="6"/>
        <v/>
      </c>
      <c r="AY23" s="5" t="str">
        <f t="shared" ca="1" si="6"/>
        <v/>
      </c>
      <c r="AZ23" s="5" t="str">
        <f t="shared" ca="1" si="6"/>
        <v/>
      </c>
      <c r="BA23" s="5" t="str">
        <f t="shared" ca="1" si="6"/>
        <v/>
      </c>
      <c r="BB23" s="5" t="str">
        <f t="shared" ca="1" si="6"/>
        <v/>
      </c>
      <c r="BC23" s="5" t="str">
        <f t="shared" ca="1" si="6"/>
        <v/>
      </c>
      <c r="BD23" s="5" t="str">
        <f t="shared" ca="1" si="6"/>
        <v/>
      </c>
      <c r="BE23" s="5" t="str">
        <f t="shared" ca="1" si="6"/>
        <v/>
      </c>
      <c r="BF23" s="5" t="str">
        <f t="shared" ca="1" si="6"/>
        <v/>
      </c>
      <c r="BG23" s="5" t="str">
        <f t="shared" ca="1" si="6"/>
        <v/>
      </c>
      <c r="BH23" s="5" t="str">
        <f t="shared" ca="1" si="6"/>
        <v/>
      </c>
      <c r="BI23" s="5" t="str">
        <f t="shared" ca="1" si="6"/>
        <v/>
      </c>
      <c r="BJ23" s="5" t="str">
        <f t="shared" ca="1" si="6"/>
        <v/>
      </c>
      <c r="BK23" s="5" t="str">
        <f t="shared" ca="1" si="6"/>
        <v/>
      </c>
      <c r="BL23" s="5" t="str">
        <f t="shared" ca="1" si="6"/>
        <v/>
      </c>
      <c r="BM23" s="5" t="str">
        <f t="shared" ca="1" si="6"/>
        <v/>
      </c>
    </row>
    <row r="24" spans="1:65" s="1" customFormat="1" ht="18.75" customHeight="1" x14ac:dyDescent="0.3">
      <c r="A24" s="4"/>
      <c r="B24" s="44" t="s">
        <v>33</v>
      </c>
      <c r="C24" s="43"/>
      <c r="D24" s="44" t="s">
        <v>34</v>
      </c>
      <c r="E24" s="8"/>
      <c r="F24" s="9">
        <v>46118</v>
      </c>
      <c r="G24" s="10">
        <v>3</v>
      </c>
      <c r="H24" s="62">
        <v>3</v>
      </c>
      <c r="I24" s="7"/>
      <c r="J24" s="5" t="str">
        <f t="shared" ca="1" si="5"/>
        <v/>
      </c>
      <c r="K24" s="5" t="str">
        <f t="shared" ca="1" si="5"/>
        <v/>
      </c>
      <c r="L24" s="5" t="str">
        <f t="shared" ca="1" si="5"/>
        <v/>
      </c>
      <c r="M24" s="5" t="str">
        <f t="shared" ca="1" si="5"/>
        <v/>
      </c>
      <c r="N24" s="5" t="str">
        <f t="shared" ca="1" si="5"/>
        <v/>
      </c>
      <c r="O24" s="5" t="str">
        <f t="shared" ca="1" si="5"/>
        <v/>
      </c>
      <c r="P24" s="5" t="str">
        <f t="shared" ca="1" si="5"/>
        <v/>
      </c>
      <c r="Q24" s="5" t="str">
        <f t="shared" ca="1" si="5"/>
        <v/>
      </c>
      <c r="R24" s="5" t="str">
        <f t="shared" ca="1" si="5"/>
        <v/>
      </c>
      <c r="S24" s="5" t="str">
        <f t="shared" ca="1" si="5"/>
        <v/>
      </c>
      <c r="T24" s="5" t="str">
        <f t="shared" ca="1" si="5"/>
        <v/>
      </c>
      <c r="U24" s="5" t="str">
        <f t="shared" ca="1" si="5"/>
        <v/>
      </c>
      <c r="V24" s="5" t="str">
        <f t="shared" ca="1" si="5"/>
        <v/>
      </c>
      <c r="W24" s="5" t="str">
        <f t="shared" ca="1" si="5"/>
        <v/>
      </c>
      <c r="X24" s="5" t="str">
        <f t="shared" ca="1" si="5"/>
        <v/>
      </c>
      <c r="Y24" s="5" t="str">
        <f t="shared" ca="1" si="5"/>
        <v/>
      </c>
      <c r="Z24" s="5" t="str">
        <f t="shared" ref="Z24:AO41" ca="1" si="10">IF(AND($C24="Objetivo",Z$8&gt;=$F24,Z$8&lt;=$F24+$G24-1),2,IF(AND($C24="Marco",Z$8&gt;=$F24,Z$8&lt;=$F24+$G24-1),1,""))</f>
        <v/>
      </c>
      <c r="AA24" s="5" t="str">
        <f t="shared" ca="1" si="10"/>
        <v/>
      </c>
      <c r="AB24" s="5" t="str">
        <f t="shared" ca="1" si="10"/>
        <v/>
      </c>
      <c r="AC24" s="5" t="str">
        <f t="shared" ca="1" si="10"/>
        <v/>
      </c>
      <c r="AD24" s="5" t="str">
        <f t="shared" ca="1" si="10"/>
        <v/>
      </c>
      <c r="AE24" s="5" t="str">
        <f t="shared" ca="1" si="10"/>
        <v/>
      </c>
      <c r="AF24" s="5" t="str">
        <f t="shared" ca="1" si="10"/>
        <v/>
      </c>
      <c r="AG24" s="5" t="str">
        <f t="shared" ca="1" si="10"/>
        <v/>
      </c>
      <c r="AH24" s="5" t="str">
        <f t="shared" ca="1" si="10"/>
        <v/>
      </c>
      <c r="AI24" s="5" t="str">
        <f t="shared" ca="1" si="10"/>
        <v/>
      </c>
      <c r="AJ24" s="5" t="str">
        <f t="shared" ca="1" si="10"/>
        <v/>
      </c>
      <c r="AK24" s="5" t="str">
        <f t="shared" ca="1" si="10"/>
        <v/>
      </c>
      <c r="AL24" s="5" t="str">
        <f t="shared" ca="1" si="10"/>
        <v/>
      </c>
      <c r="AM24" s="5" t="str">
        <f t="shared" ca="1" si="10"/>
        <v/>
      </c>
      <c r="AN24" s="5" t="str">
        <f t="shared" ca="1" si="10"/>
        <v/>
      </c>
      <c r="AO24" s="5" t="str">
        <f t="shared" ca="1" si="10"/>
        <v/>
      </c>
      <c r="AP24" s="5" t="str">
        <f t="shared" ref="AP24:BD41" ca="1" si="11">IF(AND($C24="Objetivo",AP$8&gt;=$F24,AP$8&lt;=$F24+$G24-1),2,IF(AND($C24="Marco",AP$8&gt;=$F24,AP$8&lt;=$F24+$G24-1),1,""))</f>
        <v/>
      </c>
      <c r="AQ24" s="5" t="str">
        <f t="shared" ca="1" si="11"/>
        <v/>
      </c>
      <c r="AR24" s="5" t="str">
        <f t="shared" ca="1" si="11"/>
        <v/>
      </c>
      <c r="AS24" s="5" t="str">
        <f t="shared" ca="1" si="11"/>
        <v/>
      </c>
      <c r="AT24" s="5" t="str">
        <f t="shared" ca="1" si="11"/>
        <v/>
      </c>
      <c r="AU24" s="5" t="str">
        <f t="shared" ca="1" si="11"/>
        <v/>
      </c>
      <c r="AV24" s="5" t="str">
        <f t="shared" ca="1" si="11"/>
        <v/>
      </c>
      <c r="AW24" s="5" t="str">
        <f t="shared" ca="1" si="11"/>
        <v/>
      </c>
      <c r="AX24" s="5" t="str">
        <f t="shared" ca="1" si="11"/>
        <v/>
      </c>
      <c r="AY24" s="5" t="str">
        <f t="shared" ca="1" si="11"/>
        <v/>
      </c>
      <c r="AZ24" s="5" t="str">
        <f t="shared" ca="1" si="11"/>
        <v/>
      </c>
      <c r="BA24" s="5" t="str">
        <f t="shared" ca="1" si="11"/>
        <v/>
      </c>
      <c r="BB24" s="5" t="str">
        <f t="shared" ca="1" si="11"/>
        <v/>
      </c>
      <c r="BC24" s="5" t="str">
        <f t="shared" ca="1" si="11"/>
        <v/>
      </c>
      <c r="BD24" s="5" t="str">
        <f t="shared" ca="1" si="11"/>
        <v/>
      </c>
      <c r="BE24" s="5" t="str">
        <f t="shared" ref="BE24:BM41" ca="1" si="12">IF(AND($C24="Objetivo",BE$8&gt;=$F24,BE$8&lt;=$F24+$G24-1),2,IF(AND($C24="Marco",BE$8&gt;=$F24,BE$8&lt;=$F24+$G24-1),1,""))</f>
        <v/>
      </c>
      <c r="BF24" s="5" t="str">
        <f t="shared" ca="1" si="12"/>
        <v/>
      </c>
      <c r="BG24" s="5" t="str">
        <f t="shared" ca="1" si="12"/>
        <v/>
      </c>
      <c r="BH24" s="5" t="str">
        <f t="shared" ca="1" si="12"/>
        <v/>
      </c>
      <c r="BI24" s="5" t="str">
        <f t="shared" ca="1" si="12"/>
        <v/>
      </c>
      <c r="BJ24" s="5" t="str">
        <f t="shared" ca="1" si="12"/>
        <v/>
      </c>
      <c r="BK24" s="5" t="str">
        <f t="shared" ca="1" si="12"/>
        <v/>
      </c>
      <c r="BL24" s="5" t="str">
        <f t="shared" ca="1" si="12"/>
        <v/>
      </c>
      <c r="BM24" s="5" t="str">
        <f t="shared" ca="1" si="12"/>
        <v/>
      </c>
    </row>
    <row r="25" spans="1:65" s="1" customFormat="1" ht="18.75" customHeight="1" x14ac:dyDescent="0.3">
      <c r="A25" s="4"/>
      <c r="B25" s="44" t="s">
        <v>35</v>
      </c>
      <c r="C25" s="43"/>
      <c r="D25" s="44" t="s">
        <v>19</v>
      </c>
      <c r="E25" s="8"/>
      <c r="F25" s="9">
        <v>46113</v>
      </c>
      <c r="G25" s="10">
        <v>1</v>
      </c>
      <c r="H25" s="62">
        <v>1</v>
      </c>
      <c r="I25" s="7"/>
      <c r="J25" s="5" t="str">
        <f t="shared" ca="1" si="5"/>
        <v/>
      </c>
      <c r="K25" s="5" t="str">
        <f t="shared" ca="1" si="5"/>
        <v/>
      </c>
      <c r="L25" s="5" t="str">
        <f t="shared" ca="1" si="5"/>
        <v/>
      </c>
      <c r="M25" s="5" t="str">
        <f t="shared" ca="1" si="5"/>
        <v/>
      </c>
      <c r="N25" s="5" t="str">
        <f t="shared" ca="1" si="5"/>
        <v/>
      </c>
      <c r="O25" s="5" t="str">
        <f t="shared" ca="1" si="5"/>
        <v/>
      </c>
      <c r="P25" s="5" t="str">
        <f t="shared" ca="1" si="5"/>
        <v/>
      </c>
      <c r="Q25" s="5" t="str">
        <f t="shared" ca="1" si="5"/>
        <v/>
      </c>
      <c r="R25" s="5" t="str">
        <f t="shared" ca="1" si="5"/>
        <v/>
      </c>
      <c r="S25" s="5" t="str">
        <f t="shared" ca="1" si="5"/>
        <v/>
      </c>
      <c r="T25" s="5" t="str">
        <f t="shared" ca="1" si="5"/>
        <v/>
      </c>
      <c r="U25" s="5" t="str">
        <f t="shared" ca="1" si="5"/>
        <v/>
      </c>
      <c r="V25" s="5" t="str">
        <f t="shared" ca="1" si="5"/>
        <v/>
      </c>
      <c r="W25" s="5" t="str">
        <f t="shared" ca="1" si="5"/>
        <v/>
      </c>
      <c r="X25" s="5" t="str">
        <f t="shared" ca="1" si="5"/>
        <v/>
      </c>
      <c r="Y25" s="5" t="str">
        <f t="shared" ca="1" si="5"/>
        <v/>
      </c>
      <c r="Z25" s="5" t="str">
        <f t="shared" ca="1" si="10"/>
        <v/>
      </c>
      <c r="AA25" s="5" t="str">
        <f t="shared" ca="1" si="10"/>
        <v/>
      </c>
      <c r="AB25" s="5" t="str">
        <f t="shared" ca="1" si="10"/>
        <v/>
      </c>
      <c r="AC25" s="5" t="str">
        <f t="shared" ca="1" si="10"/>
        <v/>
      </c>
      <c r="AD25" s="5" t="str">
        <f t="shared" ca="1" si="10"/>
        <v/>
      </c>
      <c r="AE25" s="5" t="str">
        <f t="shared" ca="1" si="10"/>
        <v/>
      </c>
      <c r="AF25" s="5" t="str">
        <f t="shared" ca="1" si="10"/>
        <v/>
      </c>
      <c r="AG25" s="5" t="str">
        <f t="shared" ca="1" si="10"/>
        <v/>
      </c>
      <c r="AH25" s="5" t="str">
        <f t="shared" ca="1" si="10"/>
        <v/>
      </c>
      <c r="AI25" s="5" t="str">
        <f t="shared" ca="1" si="10"/>
        <v/>
      </c>
      <c r="AJ25" s="5" t="str">
        <f t="shared" ca="1" si="10"/>
        <v/>
      </c>
      <c r="AK25" s="5" t="str">
        <f t="shared" ca="1" si="10"/>
        <v/>
      </c>
      <c r="AL25" s="5" t="str">
        <f t="shared" ca="1" si="10"/>
        <v/>
      </c>
      <c r="AM25" s="5" t="str">
        <f t="shared" ca="1" si="10"/>
        <v/>
      </c>
      <c r="AN25" s="5" t="str">
        <f t="shared" ca="1" si="10"/>
        <v/>
      </c>
      <c r="AO25" s="5" t="str">
        <f t="shared" ca="1" si="10"/>
        <v/>
      </c>
      <c r="AP25" s="5" t="str">
        <f t="shared" ca="1" si="11"/>
        <v/>
      </c>
      <c r="AQ25" s="5" t="str">
        <f t="shared" ca="1" si="11"/>
        <v/>
      </c>
      <c r="AR25" s="5" t="str">
        <f t="shared" ca="1" si="11"/>
        <v/>
      </c>
      <c r="AS25" s="5" t="str">
        <f t="shared" ca="1" si="11"/>
        <v/>
      </c>
      <c r="AT25" s="5" t="str">
        <f t="shared" ca="1" si="11"/>
        <v/>
      </c>
      <c r="AU25" s="5" t="str">
        <f t="shared" ca="1" si="11"/>
        <v/>
      </c>
      <c r="AV25" s="5" t="str">
        <f t="shared" ca="1" si="11"/>
        <v/>
      </c>
      <c r="AW25" s="5" t="str">
        <f t="shared" ca="1" si="11"/>
        <v/>
      </c>
      <c r="AX25" s="5" t="str">
        <f t="shared" ca="1" si="11"/>
        <v/>
      </c>
      <c r="AY25" s="5" t="str">
        <f t="shared" ca="1" si="11"/>
        <v/>
      </c>
      <c r="AZ25" s="5" t="str">
        <f t="shared" ca="1" si="11"/>
        <v/>
      </c>
      <c r="BA25" s="5" t="str">
        <f t="shared" ca="1" si="11"/>
        <v/>
      </c>
      <c r="BB25" s="5" t="str">
        <f t="shared" ca="1" si="11"/>
        <v/>
      </c>
      <c r="BC25" s="5" t="str">
        <f t="shared" ca="1" si="11"/>
        <v/>
      </c>
      <c r="BD25" s="5" t="str">
        <f t="shared" ca="1" si="11"/>
        <v/>
      </c>
      <c r="BE25" s="5" t="str">
        <f t="shared" ca="1" si="12"/>
        <v/>
      </c>
      <c r="BF25" s="5" t="str">
        <f t="shared" ca="1" si="12"/>
        <v/>
      </c>
      <c r="BG25" s="5" t="str">
        <f t="shared" ca="1" si="12"/>
        <v/>
      </c>
      <c r="BH25" s="5" t="str">
        <f t="shared" ca="1" si="12"/>
        <v/>
      </c>
      <c r="BI25" s="5" t="str">
        <f t="shared" ca="1" si="12"/>
        <v/>
      </c>
      <c r="BJ25" s="5" t="str">
        <f t="shared" ca="1" si="12"/>
        <v/>
      </c>
      <c r="BK25" s="5" t="str">
        <f t="shared" ca="1" si="12"/>
        <v/>
      </c>
      <c r="BL25" s="5" t="str">
        <f t="shared" ca="1" si="12"/>
        <v/>
      </c>
      <c r="BM25" s="5" t="str">
        <f t="shared" ca="1" si="12"/>
        <v/>
      </c>
    </row>
    <row r="26" spans="1:65" s="1" customFormat="1" ht="18.75" customHeight="1" x14ac:dyDescent="0.3">
      <c r="A26" s="4"/>
      <c r="B26" s="44" t="s">
        <v>36</v>
      </c>
      <c r="C26" s="43"/>
      <c r="D26" s="44" t="s">
        <v>19</v>
      </c>
      <c r="E26" s="8"/>
      <c r="F26" s="9">
        <v>46114</v>
      </c>
      <c r="G26" s="10">
        <v>15</v>
      </c>
      <c r="H26" s="62">
        <v>10</v>
      </c>
      <c r="I26" s="7"/>
      <c r="J26" s="5" t="str">
        <f t="shared" ca="1" si="5"/>
        <v/>
      </c>
      <c r="K26" s="5" t="str">
        <f t="shared" ca="1" si="5"/>
        <v/>
      </c>
      <c r="L26" s="5" t="str">
        <f t="shared" ca="1" si="5"/>
        <v/>
      </c>
      <c r="M26" s="5" t="str">
        <f t="shared" ca="1" si="5"/>
        <v/>
      </c>
      <c r="N26" s="5" t="str">
        <f t="shared" ca="1" si="5"/>
        <v/>
      </c>
      <c r="O26" s="5" t="str">
        <f t="shared" ca="1" si="5"/>
        <v/>
      </c>
      <c r="P26" s="5" t="str">
        <f t="shared" ca="1" si="5"/>
        <v/>
      </c>
      <c r="Q26" s="5" t="str">
        <f t="shared" ca="1" si="5"/>
        <v/>
      </c>
      <c r="R26" s="5" t="str">
        <f t="shared" ca="1" si="5"/>
        <v/>
      </c>
      <c r="S26" s="5" t="str">
        <f t="shared" ca="1" si="5"/>
        <v/>
      </c>
      <c r="T26" s="5" t="str">
        <f t="shared" ca="1" si="5"/>
        <v/>
      </c>
      <c r="U26" s="5" t="str">
        <f t="shared" ca="1" si="5"/>
        <v/>
      </c>
      <c r="V26" s="5" t="str">
        <f t="shared" ca="1" si="5"/>
        <v/>
      </c>
      <c r="W26" s="5" t="str">
        <f t="shared" ca="1" si="5"/>
        <v/>
      </c>
      <c r="X26" s="5" t="str">
        <f t="shared" ca="1" si="5"/>
        <v/>
      </c>
      <c r="Y26" s="5" t="str">
        <f t="shared" ca="1" si="5"/>
        <v/>
      </c>
      <c r="Z26" s="5" t="str">
        <f t="shared" ca="1" si="10"/>
        <v/>
      </c>
      <c r="AA26" s="5" t="str">
        <f t="shared" ca="1" si="10"/>
        <v/>
      </c>
      <c r="AB26" s="5" t="str">
        <f t="shared" ca="1" si="10"/>
        <v/>
      </c>
      <c r="AC26" s="5" t="str">
        <f t="shared" ca="1" si="10"/>
        <v/>
      </c>
      <c r="AD26" s="5" t="str">
        <f t="shared" ca="1" si="10"/>
        <v/>
      </c>
      <c r="AE26" s="5" t="str">
        <f t="shared" ca="1" si="10"/>
        <v/>
      </c>
      <c r="AF26" s="5" t="str">
        <f t="shared" ca="1" si="10"/>
        <v/>
      </c>
      <c r="AG26" s="5" t="str">
        <f t="shared" ca="1" si="10"/>
        <v/>
      </c>
      <c r="AH26" s="5" t="str">
        <f t="shared" ca="1" si="10"/>
        <v/>
      </c>
      <c r="AI26" s="5" t="str">
        <f t="shared" ca="1" si="10"/>
        <v/>
      </c>
      <c r="AJ26" s="5" t="str">
        <f t="shared" ca="1" si="10"/>
        <v/>
      </c>
      <c r="AK26" s="5" t="str">
        <f t="shared" ca="1" si="10"/>
        <v/>
      </c>
      <c r="AL26" s="5" t="str">
        <f t="shared" ca="1" si="10"/>
        <v/>
      </c>
      <c r="AM26" s="5" t="str">
        <f t="shared" ca="1" si="10"/>
        <v/>
      </c>
      <c r="AN26" s="5" t="str">
        <f t="shared" ca="1" si="10"/>
        <v/>
      </c>
      <c r="AO26" s="5" t="str">
        <f t="shared" ca="1" si="10"/>
        <v/>
      </c>
      <c r="AP26" s="5" t="str">
        <f t="shared" ca="1" si="11"/>
        <v/>
      </c>
      <c r="AQ26" s="5" t="str">
        <f t="shared" ca="1" si="11"/>
        <v/>
      </c>
      <c r="AR26" s="5" t="str">
        <f t="shared" ca="1" si="11"/>
        <v/>
      </c>
      <c r="AS26" s="5" t="str">
        <f t="shared" ca="1" si="11"/>
        <v/>
      </c>
      <c r="AT26" s="5" t="str">
        <f t="shared" ca="1" si="11"/>
        <v/>
      </c>
      <c r="AU26" s="5" t="str">
        <f t="shared" ca="1" si="11"/>
        <v/>
      </c>
      <c r="AV26" s="5" t="str">
        <f t="shared" ca="1" si="11"/>
        <v/>
      </c>
      <c r="AW26" s="5" t="str">
        <f t="shared" ca="1" si="11"/>
        <v/>
      </c>
      <c r="AX26" s="5" t="str">
        <f t="shared" ca="1" si="11"/>
        <v/>
      </c>
      <c r="AY26" s="5" t="str">
        <f t="shared" ca="1" si="11"/>
        <v/>
      </c>
      <c r="AZ26" s="5" t="str">
        <f t="shared" ca="1" si="11"/>
        <v/>
      </c>
      <c r="BA26" s="5" t="str">
        <f t="shared" ca="1" si="11"/>
        <v/>
      </c>
      <c r="BB26" s="5" t="str">
        <f t="shared" ca="1" si="11"/>
        <v/>
      </c>
      <c r="BC26" s="5" t="str">
        <f t="shared" ca="1" si="11"/>
        <v/>
      </c>
      <c r="BD26" s="5" t="str">
        <f t="shared" ca="1" si="11"/>
        <v/>
      </c>
      <c r="BE26" s="5" t="str">
        <f t="shared" ca="1" si="12"/>
        <v/>
      </c>
      <c r="BF26" s="5" t="str">
        <f t="shared" ca="1" si="12"/>
        <v/>
      </c>
      <c r="BG26" s="5" t="str">
        <f t="shared" ca="1" si="12"/>
        <v/>
      </c>
      <c r="BH26" s="5" t="str">
        <f t="shared" ca="1" si="12"/>
        <v/>
      </c>
      <c r="BI26" s="5" t="str">
        <f t="shared" ca="1" si="12"/>
        <v/>
      </c>
      <c r="BJ26" s="5" t="str">
        <f t="shared" ca="1" si="12"/>
        <v/>
      </c>
      <c r="BK26" s="5" t="str">
        <f t="shared" ca="1" si="12"/>
        <v/>
      </c>
      <c r="BL26" s="5" t="str">
        <f t="shared" ca="1" si="12"/>
        <v/>
      </c>
      <c r="BM26" s="5" t="str">
        <f t="shared" ca="1" si="12"/>
        <v/>
      </c>
    </row>
    <row r="27" spans="1:65" s="1" customFormat="1" ht="18.75" customHeight="1" x14ac:dyDescent="0.3">
      <c r="A27" s="4"/>
      <c r="B27" s="44" t="s">
        <v>37</v>
      </c>
      <c r="C27" s="43"/>
      <c r="D27" s="44" t="s">
        <v>38</v>
      </c>
      <c r="E27" s="8">
        <v>1</v>
      </c>
      <c r="F27" s="9">
        <v>46086</v>
      </c>
      <c r="G27" s="10">
        <v>6</v>
      </c>
      <c r="H27" s="62">
        <v>7</v>
      </c>
      <c r="I27" s="7"/>
      <c r="J27" s="5" t="str">
        <f t="shared" ca="1" si="5"/>
        <v/>
      </c>
      <c r="K27" s="5" t="str">
        <f t="shared" ca="1" si="5"/>
        <v/>
      </c>
      <c r="L27" s="5" t="str">
        <f t="shared" ca="1" si="5"/>
        <v/>
      </c>
      <c r="M27" s="5" t="str">
        <f t="shared" ca="1" si="5"/>
        <v/>
      </c>
      <c r="N27" s="5" t="str">
        <f t="shared" ca="1" si="5"/>
        <v/>
      </c>
      <c r="O27" s="5" t="str">
        <f t="shared" ca="1" si="5"/>
        <v/>
      </c>
      <c r="P27" s="5" t="str">
        <f t="shared" ca="1" si="5"/>
        <v/>
      </c>
      <c r="Q27" s="5" t="str">
        <f t="shared" ca="1" si="5"/>
        <v/>
      </c>
      <c r="R27" s="5" t="str">
        <f t="shared" ca="1" si="5"/>
        <v/>
      </c>
      <c r="S27" s="5" t="str">
        <f t="shared" ca="1" si="5"/>
        <v/>
      </c>
      <c r="T27" s="5" t="str">
        <f t="shared" ca="1" si="5"/>
        <v/>
      </c>
      <c r="U27" s="5" t="str">
        <f t="shared" ca="1" si="5"/>
        <v/>
      </c>
      <c r="V27" s="5" t="str">
        <f t="shared" ca="1" si="5"/>
        <v/>
      </c>
      <c r="W27" s="5" t="str">
        <f t="shared" ca="1" si="5"/>
        <v/>
      </c>
      <c r="X27" s="5" t="str">
        <f t="shared" ca="1" si="5"/>
        <v/>
      </c>
      <c r="Y27" s="5" t="str">
        <f t="shared" ca="1" si="5"/>
        <v/>
      </c>
      <c r="Z27" s="5" t="str">
        <f t="shared" ca="1" si="10"/>
        <v/>
      </c>
      <c r="AA27" s="5" t="str">
        <f t="shared" ca="1" si="10"/>
        <v/>
      </c>
      <c r="AB27" s="5" t="str">
        <f t="shared" ca="1" si="10"/>
        <v/>
      </c>
      <c r="AC27" s="5" t="str">
        <f t="shared" ca="1" si="10"/>
        <v/>
      </c>
      <c r="AD27" s="5" t="str">
        <f t="shared" ca="1" si="10"/>
        <v/>
      </c>
      <c r="AE27" s="5" t="str">
        <f t="shared" ca="1" si="10"/>
        <v/>
      </c>
      <c r="AF27" s="5" t="str">
        <f t="shared" ca="1" si="10"/>
        <v/>
      </c>
      <c r="AG27" s="5" t="str">
        <f t="shared" ca="1" si="10"/>
        <v/>
      </c>
      <c r="AH27" s="5" t="str">
        <f t="shared" ca="1" si="10"/>
        <v/>
      </c>
      <c r="AI27" s="5" t="str">
        <f t="shared" ca="1" si="10"/>
        <v/>
      </c>
      <c r="AJ27" s="5" t="str">
        <f t="shared" ca="1" si="10"/>
        <v/>
      </c>
      <c r="AK27" s="5" t="str">
        <f t="shared" ca="1" si="10"/>
        <v/>
      </c>
      <c r="AL27" s="5" t="str">
        <f t="shared" ca="1" si="10"/>
        <v/>
      </c>
      <c r="AM27" s="5" t="str">
        <f t="shared" ca="1" si="10"/>
        <v/>
      </c>
      <c r="AN27" s="5" t="str">
        <f t="shared" ca="1" si="10"/>
        <v/>
      </c>
      <c r="AO27" s="5" t="str">
        <f t="shared" ca="1" si="10"/>
        <v/>
      </c>
      <c r="AP27" s="5" t="str">
        <f t="shared" ca="1" si="11"/>
        <v/>
      </c>
      <c r="AQ27" s="5" t="str">
        <f t="shared" ca="1" si="11"/>
        <v/>
      </c>
      <c r="AR27" s="5" t="str">
        <f t="shared" ca="1" si="11"/>
        <v/>
      </c>
      <c r="AS27" s="5" t="str">
        <f t="shared" ca="1" si="11"/>
        <v/>
      </c>
      <c r="AT27" s="5" t="str">
        <f t="shared" ca="1" si="11"/>
        <v/>
      </c>
      <c r="AU27" s="5" t="str">
        <f t="shared" ca="1" si="11"/>
        <v/>
      </c>
      <c r="AV27" s="5" t="str">
        <f t="shared" ca="1" si="11"/>
        <v/>
      </c>
      <c r="AW27" s="5" t="str">
        <f t="shared" ca="1" si="11"/>
        <v/>
      </c>
      <c r="AX27" s="5" t="str">
        <f t="shared" ca="1" si="11"/>
        <v/>
      </c>
      <c r="AY27" s="5" t="str">
        <f t="shared" ca="1" si="11"/>
        <v/>
      </c>
      <c r="AZ27" s="5" t="str">
        <f t="shared" ca="1" si="11"/>
        <v/>
      </c>
      <c r="BA27" s="5" t="str">
        <f t="shared" ca="1" si="11"/>
        <v/>
      </c>
      <c r="BB27" s="5" t="str">
        <f t="shared" ca="1" si="11"/>
        <v/>
      </c>
      <c r="BC27" s="5" t="str">
        <f t="shared" ca="1" si="11"/>
        <v/>
      </c>
      <c r="BD27" s="5" t="str">
        <f t="shared" ca="1" si="11"/>
        <v/>
      </c>
      <c r="BE27" s="5" t="str">
        <f t="shared" ca="1" si="12"/>
        <v/>
      </c>
      <c r="BF27" s="5" t="str">
        <f t="shared" ca="1" si="12"/>
        <v/>
      </c>
      <c r="BG27" s="5" t="str">
        <f t="shared" ca="1" si="12"/>
        <v/>
      </c>
      <c r="BH27" s="5" t="str">
        <f t="shared" ca="1" si="12"/>
        <v/>
      </c>
      <c r="BI27" s="5" t="str">
        <f t="shared" ca="1" si="12"/>
        <v/>
      </c>
      <c r="BJ27" s="5" t="str">
        <f t="shared" ca="1" si="12"/>
        <v/>
      </c>
      <c r="BK27" s="5" t="str">
        <f t="shared" ca="1" si="12"/>
        <v/>
      </c>
      <c r="BL27" s="5" t="str">
        <f t="shared" ca="1" si="12"/>
        <v/>
      </c>
      <c r="BM27" s="5" t="str">
        <f t="shared" ca="1" si="12"/>
        <v/>
      </c>
    </row>
    <row r="28" spans="1:65" s="1" customFormat="1" ht="18.75" customHeight="1" x14ac:dyDescent="0.3">
      <c r="A28" s="4"/>
      <c r="B28" s="44" t="s">
        <v>39</v>
      </c>
      <c r="C28" s="43"/>
      <c r="D28" s="44" t="s">
        <v>38</v>
      </c>
      <c r="E28" s="8"/>
      <c r="F28" s="9">
        <v>46113</v>
      </c>
      <c r="G28" s="10">
        <v>2</v>
      </c>
      <c r="H28" s="62">
        <v>2</v>
      </c>
      <c r="I28" s="7"/>
      <c r="J28" s="5" t="str">
        <f t="shared" ca="1" si="5"/>
        <v/>
      </c>
      <c r="K28" s="5" t="str">
        <f t="shared" ca="1" si="5"/>
        <v/>
      </c>
      <c r="L28" s="5" t="str">
        <f t="shared" ca="1" si="5"/>
        <v/>
      </c>
      <c r="M28" s="5" t="str">
        <f t="shared" ca="1" si="5"/>
        <v/>
      </c>
      <c r="N28" s="5" t="str">
        <f t="shared" ca="1" si="5"/>
        <v/>
      </c>
      <c r="O28" s="5" t="str">
        <f t="shared" ca="1" si="5"/>
        <v/>
      </c>
      <c r="P28" s="5" t="str">
        <f t="shared" ca="1" si="5"/>
        <v/>
      </c>
      <c r="Q28" s="5" t="str">
        <f t="shared" ca="1" si="5"/>
        <v/>
      </c>
      <c r="R28" s="5" t="str">
        <f t="shared" ca="1" si="5"/>
        <v/>
      </c>
      <c r="S28" s="5" t="str">
        <f t="shared" ca="1" si="5"/>
        <v/>
      </c>
      <c r="T28" s="5" t="str">
        <f t="shared" ca="1" si="5"/>
        <v/>
      </c>
      <c r="U28" s="5" t="str">
        <f t="shared" ca="1" si="5"/>
        <v/>
      </c>
      <c r="V28" s="5" t="str">
        <f t="shared" ca="1" si="5"/>
        <v/>
      </c>
      <c r="W28" s="5" t="str">
        <f t="shared" ca="1" si="5"/>
        <v/>
      </c>
      <c r="X28" s="5" t="str">
        <f t="shared" ca="1" si="5"/>
        <v/>
      </c>
      <c r="Y28" s="5" t="str">
        <f t="shared" ca="1" si="5"/>
        <v/>
      </c>
      <c r="Z28" s="5" t="str">
        <f t="shared" ca="1" si="10"/>
        <v/>
      </c>
      <c r="AA28" s="5" t="str">
        <f t="shared" ca="1" si="10"/>
        <v/>
      </c>
      <c r="AB28" s="5" t="str">
        <f t="shared" ca="1" si="10"/>
        <v/>
      </c>
      <c r="AC28" s="5" t="str">
        <f t="shared" ca="1" si="10"/>
        <v/>
      </c>
      <c r="AD28" s="5" t="str">
        <f t="shared" ca="1" si="10"/>
        <v/>
      </c>
      <c r="AE28" s="5" t="str">
        <f t="shared" ca="1" si="10"/>
        <v/>
      </c>
      <c r="AF28" s="5" t="str">
        <f t="shared" ca="1" si="10"/>
        <v/>
      </c>
      <c r="AG28" s="5" t="str">
        <f t="shared" ca="1" si="10"/>
        <v/>
      </c>
      <c r="AH28" s="5" t="str">
        <f t="shared" ca="1" si="10"/>
        <v/>
      </c>
      <c r="AI28" s="5" t="str">
        <f t="shared" ca="1" si="10"/>
        <v/>
      </c>
      <c r="AJ28" s="5" t="str">
        <f t="shared" ca="1" si="10"/>
        <v/>
      </c>
      <c r="AK28" s="5" t="str">
        <f t="shared" ca="1" si="10"/>
        <v/>
      </c>
      <c r="AL28" s="5" t="str">
        <f t="shared" ca="1" si="10"/>
        <v/>
      </c>
      <c r="AM28" s="5" t="str">
        <f t="shared" ca="1" si="10"/>
        <v/>
      </c>
      <c r="AN28" s="5" t="str">
        <f t="shared" ca="1" si="10"/>
        <v/>
      </c>
      <c r="AO28" s="5" t="str">
        <f t="shared" ca="1" si="10"/>
        <v/>
      </c>
      <c r="AP28" s="5" t="str">
        <f t="shared" ca="1" si="11"/>
        <v/>
      </c>
      <c r="AQ28" s="5" t="str">
        <f t="shared" ca="1" si="11"/>
        <v/>
      </c>
      <c r="AR28" s="5" t="str">
        <f t="shared" ca="1" si="11"/>
        <v/>
      </c>
      <c r="AS28" s="5" t="str">
        <f t="shared" ca="1" si="11"/>
        <v/>
      </c>
      <c r="AT28" s="5" t="str">
        <f t="shared" ca="1" si="11"/>
        <v/>
      </c>
      <c r="AU28" s="5" t="str">
        <f t="shared" ca="1" si="11"/>
        <v/>
      </c>
      <c r="AV28" s="5" t="str">
        <f t="shared" ca="1" si="11"/>
        <v/>
      </c>
      <c r="AW28" s="5" t="str">
        <f t="shared" ca="1" si="11"/>
        <v/>
      </c>
      <c r="AX28" s="5" t="str">
        <f t="shared" ca="1" si="11"/>
        <v/>
      </c>
      <c r="AY28" s="5" t="str">
        <f t="shared" ca="1" si="11"/>
        <v/>
      </c>
      <c r="AZ28" s="5" t="str">
        <f t="shared" ca="1" si="11"/>
        <v/>
      </c>
      <c r="BA28" s="5" t="str">
        <f t="shared" ca="1" si="11"/>
        <v/>
      </c>
      <c r="BB28" s="5" t="str">
        <f t="shared" ca="1" si="11"/>
        <v/>
      </c>
      <c r="BC28" s="5" t="str">
        <f t="shared" ca="1" si="11"/>
        <v/>
      </c>
      <c r="BD28" s="5" t="str">
        <f t="shared" ca="1" si="11"/>
        <v/>
      </c>
      <c r="BE28" s="5" t="str">
        <f t="shared" ca="1" si="12"/>
        <v/>
      </c>
      <c r="BF28" s="5" t="str">
        <f t="shared" ca="1" si="12"/>
        <v/>
      </c>
      <c r="BG28" s="5" t="str">
        <f t="shared" ca="1" si="12"/>
        <v/>
      </c>
      <c r="BH28" s="5" t="str">
        <f t="shared" ca="1" si="12"/>
        <v/>
      </c>
      <c r="BI28" s="5" t="str">
        <f t="shared" ca="1" si="12"/>
        <v/>
      </c>
      <c r="BJ28" s="5" t="str">
        <f t="shared" ca="1" si="12"/>
        <v/>
      </c>
      <c r="BK28" s="5" t="str">
        <f t="shared" ca="1" si="12"/>
        <v/>
      </c>
      <c r="BL28" s="5" t="str">
        <f t="shared" ca="1" si="12"/>
        <v/>
      </c>
      <c r="BM28" s="5" t="str">
        <f t="shared" ca="1" si="12"/>
        <v/>
      </c>
    </row>
    <row r="29" spans="1:65" s="1" customFormat="1" ht="18.75" customHeight="1" x14ac:dyDescent="0.3">
      <c r="A29" s="3"/>
      <c r="B29" s="44" t="s">
        <v>40</v>
      </c>
      <c r="C29" s="43"/>
      <c r="D29" s="44" t="s">
        <v>38</v>
      </c>
      <c r="E29" s="8">
        <v>1</v>
      </c>
      <c r="F29" s="9">
        <v>46086</v>
      </c>
      <c r="G29" s="10">
        <v>12</v>
      </c>
      <c r="H29" s="62">
        <v>8</v>
      </c>
      <c r="I29" s="7"/>
      <c r="J29" s="5" t="str">
        <f t="shared" ca="1" si="5"/>
        <v/>
      </c>
      <c r="K29" s="5" t="str">
        <f t="shared" ca="1" si="5"/>
        <v/>
      </c>
      <c r="L29" s="5" t="str">
        <f t="shared" ca="1" si="5"/>
        <v/>
      </c>
      <c r="M29" s="5" t="str">
        <f t="shared" ca="1" si="5"/>
        <v/>
      </c>
      <c r="N29" s="5" t="str">
        <f t="shared" ca="1" si="5"/>
        <v/>
      </c>
      <c r="O29" s="5" t="str">
        <f t="shared" ca="1" si="5"/>
        <v/>
      </c>
      <c r="P29" s="5" t="str">
        <f t="shared" ca="1" si="5"/>
        <v/>
      </c>
      <c r="Q29" s="5" t="str">
        <f t="shared" ca="1" si="5"/>
        <v/>
      </c>
      <c r="R29" s="5" t="str">
        <f t="shared" ca="1" si="5"/>
        <v/>
      </c>
      <c r="S29" s="5" t="str">
        <f t="shared" ca="1" si="5"/>
        <v/>
      </c>
      <c r="T29" s="5" t="str">
        <f t="shared" ca="1" si="5"/>
        <v/>
      </c>
      <c r="U29" s="5" t="str">
        <f t="shared" ca="1" si="5"/>
        <v/>
      </c>
      <c r="V29" s="5" t="str">
        <f t="shared" ca="1" si="5"/>
        <v/>
      </c>
      <c r="W29" s="5" t="str">
        <f t="shared" ca="1" si="5"/>
        <v/>
      </c>
      <c r="X29" s="5" t="str">
        <f t="shared" ca="1" si="5"/>
        <v/>
      </c>
      <c r="Y29" s="5" t="str">
        <f t="shared" ca="1" si="5"/>
        <v/>
      </c>
      <c r="Z29" s="5" t="str">
        <f t="shared" ca="1" si="10"/>
        <v/>
      </c>
      <c r="AA29" s="5" t="str">
        <f t="shared" ca="1" si="10"/>
        <v/>
      </c>
      <c r="AB29" s="5" t="str">
        <f t="shared" ca="1" si="10"/>
        <v/>
      </c>
      <c r="AC29" s="5" t="str">
        <f t="shared" ca="1" si="10"/>
        <v/>
      </c>
      <c r="AD29" s="5" t="str">
        <f t="shared" ca="1" si="10"/>
        <v/>
      </c>
      <c r="AE29" s="5" t="str">
        <f t="shared" ca="1" si="10"/>
        <v/>
      </c>
      <c r="AF29" s="5" t="str">
        <f t="shared" ca="1" si="10"/>
        <v/>
      </c>
      <c r="AG29" s="5" t="str">
        <f t="shared" ca="1" si="10"/>
        <v/>
      </c>
      <c r="AH29" s="5" t="str">
        <f t="shared" ca="1" si="10"/>
        <v/>
      </c>
      <c r="AI29" s="5" t="str">
        <f t="shared" ca="1" si="10"/>
        <v/>
      </c>
      <c r="AJ29" s="5" t="str">
        <f t="shared" ca="1" si="10"/>
        <v/>
      </c>
      <c r="AK29" s="5" t="str">
        <f t="shared" ca="1" si="10"/>
        <v/>
      </c>
      <c r="AL29" s="5" t="str">
        <f t="shared" ca="1" si="10"/>
        <v/>
      </c>
      <c r="AM29" s="5" t="str">
        <f t="shared" ca="1" si="10"/>
        <v/>
      </c>
      <c r="AN29" s="5" t="str">
        <f t="shared" ca="1" si="10"/>
        <v/>
      </c>
      <c r="AO29" s="5" t="str">
        <f t="shared" ca="1" si="10"/>
        <v/>
      </c>
      <c r="AP29" s="5" t="str">
        <f t="shared" ca="1" si="11"/>
        <v/>
      </c>
      <c r="AQ29" s="5" t="str">
        <f t="shared" ca="1" si="11"/>
        <v/>
      </c>
      <c r="AR29" s="5" t="str">
        <f t="shared" ca="1" si="11"/>
        <v/>
      </c>
      <c r="AS29" s="5" t="str">
        <f t="shared" ca="1" si="11"/>
        <v/>
      </c>
      <c r="AT29" s="5" t="str">
        <f t="shared" ca="1" si="11"/>
        <v/>
      </c>
      <c r="AU29" s="5" t="str">
        <f t="shared" ca="1" si="11"/>
        <v/>
      </c>
      <c r="AV29" s="5" t="str">
        <f t="shared" ca="1" si="11"/>
        <v/>
      </c>
      <c r="AW29" s="5" t="str">
        <f t="shared" ca="1" si="11"/>
        <v/>
      </c>
      <c r="AX29" s="5" t="str">
        <f t="shared" ca="1" si="11"/>
        <v/>
      </c>
      <c r="AY29" s="5" t="str">
        <f t="shared" ca="1" si="11"/>
        <v/>
      </c>
      <c r="AZ29" s="5" t="str">
        <f t="shared" ca="1" si="11"/>
        <v/>
      </c>
      <c r="BA29" s="5" t="str">
        <f t="shared" ca="1" si="11"/>
        <v/>
      </c>
      <c r="BB29" s="5" t="str">
        <f t="shared" ca="1" si="11"/>
        <v/>
      </c>
      <c r="BC29" s="5" t="str">
        <f t="shared" ca="1" si="11"/>
        <v/>
      </c>
      <c r="BD29" s="5" t="str">
        <f t="shared" ca="1" si="11"/>
        <v/>
      </c>
      <c r="BE29" s="5" t="str">
        <f t="shared" ca="1" si="12"/>
        <v/>
      </c>
      <c r="BF29" s="5" t="str">
        <f t="shared" ca="1" si="12"/>
        <v/>
      </c>
      <c r="BG29" s="5" t="str">
        <f t="shared" ca="1" si="12"/>
        <v/>
      </c>
      <c r="BH29" s="5" t="str">
        <f t="shared" ca="1" si="12"/>
        <v/>
      </c>
      <c r="BI29" s="5" t="str">
        <f t="shared" ca="1" si="12"/>
        <v/>
      </c>
      <c r="BJ29" s="5" t="str">
        <f t="shared" ca="1" si="12"/>
        <v/>
      </c>
      <c r="BK29" s="5" t="str">
        <f t="shared" ca="1" si="12"/>
        <v/>
      </c>
      <c r="BL29" s="5" t="str">
        <f t="shared" ca="1" si="12"/>
        <v/>
      </c>
      <c r="BM29" s="5" t="str">
        <f t="shared" ca="1" si="12"/>
        <v/>
      </c>
    </row>
    <row r="30" spans="1:65" s="1" customFormat="1" ht="18.75" customHeight="1" x14ac:dyDescent="0.3">
      <c r="A30" s="3"/>
      <c r="B30" s="44" t="s">
        <v>41</v>
      </c>
      <c r="C30" s="43"/>
      <c r="D30" s="44" t="s">
        <v>38</v>
      </c>
      <c r="E30" s="8"/>
      <c r="F30" s="9">
        <v>46118</v>
      </c>
      <c r="G30" s="10">
        <v>9</v>
      </c>
      <c r="H30" s="62">
        <v>7</v>
      </c>
      <c r="I30" s="7"/>
      <c r="J30" s="5" t="str">
        <f t="shared" ca="1" si="5"/>
        <v/>
      </c>
      <c r="K30" s="5" t="str">
        <f t="shared" ca="1" si="5"/>
        <v/>
      </c>
      <c r="L30" s="5" t="str">
        <f t="shared" ca="1" si="5"/>
        <v/>
      </c>
      <c r="M30" s="5" t="str">
        <f t="shared" ca="1" si="5"/>
        <v/>
      </c>
      <c r="N30" s="5" t="str">
        <f t="shared" ca="1" si="5"/>
        <v/>
      </c>
      <c r="O30" s="5" t="str">
        <f t="shared" ca="1" si="5"/>
        <v/>
      </c>
      <c r="P30" s="5" t="str">
        <f t="shared" ca="1" si="5"/>
        <v/>
      </c>
      <c r="Q30" s="5" t="str">
        <f t="shared" ca="1" si="5"/>
        <v/>
      </c>
      <c r="R30" s="5" t="str">
        <f t="shared" ca="1" si="5"/>
        <v/>
      </c>
      <c r="S30" s="5" t="str">
        <f t="shared" ca="1" si="5"/>
        <v/>
      </c>
      <c r="T30" s="5" t="str">
        <f t="shared" ca="1" si="5"/>
        <v/>
      </c>
      <c r="U30" s="5" t="str">
        <f t="shared" ca="1" si="5"/>
        <v/>
      </c>
      <c r="V30" s="5" t="str">
        <f t="shared" ref="J30:Y41" ca="1" si="13">IF(AND($C30="Objetivo",V$8&gt;=$F30,V$8&lt;=$F30+$G30-1),2,IF(AND($C30="Marco",V$8&gt;=$F30,V$8&lt;=$F30+$G30-1),1,""))</f>
        <v/>
      </c>
      <c r="W30" s="5" t="str">
        <f t="shared" ca="1" si="13"/>
        <v/>
      </c>
      <c r="X30" s="5" t="str">
        <f t="shared" ca="1" si="13"/>
        <v/>
      </c>
      <c r="Y30" s="5" t="str">
        <f t="shared" ca="1" si="13"/>
        <v/>
      </c>
      <c r="Z30" s="5" t="str">
        <f t="shared" ca="1" si="10"/>
        <v/>
      </c>
      <c r="AA30" s="5" t="str">
        <f t="shared" ca="1" si="10"/>
        <v/>
      </c>
      <c r="AB30" s="5" t="str">
        <f t="shared" ca="1" si="10"/>
        <v/>
      </c>
      <c r="AC30" s="5" t="str">
        <f t="shared" ca="1" si="10"/>
        <v/>
      </c>
      <c r="AD30" s="5" t="str">
        <f t="shared" ca="1" si="10"/>
        <v/>
      </c>
      <c r="AE30" s="5" t="str">
        <f t="shared" ca="1" si="10"/>
        <v/>
      </c>
      <c r="AF30" s="5" t="str">
        <f t="shared" ca="1" si="10"/>
        <v/>
      </c>
      <c r="AG30" s="5" t="str">
        <f t="shared" ca="1" si="10"/>
        <v/>
      </c>
      <c r="AH30" s="5" t="str">
        <f t="shared" ca="1" si="10"/>
        <v/>
      </c>
      <c r="AI30" s="5" t="str">
        <f t="shared" ca="1" si="10"/>
        <v/>
      </c>
      <c r="AJ30" s="5" t="str">
        <f t="shared" ca="1" si="10"/>
        <v/>
      </c>
      <c r="AK30" s="5" t="str">
        <f t="shared" ca="1" si="10"/>
        <v/>
      </c>
      <c r="AL30" s="5" t="str">
        <f t="shared" ca="1" si="10"/>
        <v/>
      </c>
      <c r="AM30" s="5" t="str">
        <f t="shared" ca="1" si="10"/>
        <v/>
      </c>
      <c r="AN30" s="5" t="str">
        <f t="shared" ca="1" si="10"/>
        <v/>
      </c>
      <c r="AO30" s="5" t="str">
        <f t="shared" ca="1" si="10"/>
        <v/>
      </c>
      <c r="AP30" s="5" t="str">
        <f t="shared" ca="1" si="11"/>
        <v/>
      </c>
      <c r="AQ30" s="5" t="str">
        <f t="shared" ca="1" si="11"/>
        <v/>
      </c>
      <c r="AR30" s="5" t="str">
        <f t="shared" ca="1" si="11"/>
        <v/>
      </c>
      <c r="AS30" s="5" t="str">
        <f t="shared" ca="1" si="11"/>
        <v/>
      </c>
      <c r="AT30" s="5" t="str">
        <f t="shared" ca="1" si="11"/>
        <v/>
      </c>
      <c r="AU30" s="5" t="str">
        <f t="shared" ca="1" si="11"/>
        <v/>
      </c>
      <c r="AV30" s="5" t="str">
        <f t="shared" ca="1" si="11"/>
        <v/>
      </c>
      <c r="AW30" s="5" t="str">
        <f t="shared" ca="1" si="11"/>
        <v/>
      </c>
      <c r="AX30" s="5" t="str">
        <f t="shared" ca="1" si="11"/>
        <v/>
      </c>
      <c r="AY30" s="5" t="str">
        <f t="shared" ca="1" si="11"/>
        <v/>
      </c>
      <c r="AZ30" s="5" t="str">
        <f t="shared" ca="1" si="11"/>
        <v/>
      </c>
      <c r="BA30" s="5" t="str">
        <f t="shared" ca="1" si="11"/>
        <v/>
      </c>
      <c r="BB30" s="5" t="str">
        <f t="shared" ca="1" si="11"/>
        <v/>
      </c>
      <c r="BC30" s="5" t="str">
        <f t="shared" ca="1" si="11"/>
        <v/>
      </c>
      <c r="BD30" s="5" t="str">
        <f t="shared" ca="1" si="11"/>
        <v/>
      </c>
      <c r="BE30" s="5" t="str">
        <f t="shared" ca="1" si="12"/>
        <v/>
      </c>
      <c r="BF30" s="5" t="str">
        <f t="shared" ca="1" si="12"/>
        <v/>
      </c>
      <c r="BG30" s="5" t="str">
        <f t="shared" ca="1" si="12"/>
        <v/>
      </c>
      <c r="BH30" s="5" t="str">
        <f t="shared" ca="1" si="12"/>
        <v/>
      </c>
      <c r="BI30" s="5" t="str">
        <f t="shared" ca="1" si="12"/>
        <v/>
      </c>
      <c r="BJ30" s="5" t="str">
        <f t="shared" ca="1" si="12"/>
        <v/>
      </c>
      <c r="BK30" s="5" t="str">
        <f t="shared" ca="1" si="12"/>
        <v/>
      </c>
      <c r="BL30" s="5" t="str">
        <f t="shared" ca="1" si="12"/>
        <v/>
      </c>
      <c r="BM30" s="5" t="str">
        <f t="shared" ca="1" si="12"/>
        <v/>
      </c>
    </row>
    <row r="31" spans="1:65" s="1" customFormat="1" ht="18.75" customHeight="1" x14ac:dyDescent="0.3">
      <c r="A31" s="3"/>
      <c r="B31" s="44" t="s">
        <v>42</v>
      </c>
      <c r="C31" s="43"/>
      <c r="D31" s="44" t="s">
        <v>38</v>
      </c>
      <c r="E31" s="8"/>
      <c r="F31" s="9">
        <v>46127</v>
      </c>
      <c r="G31" s="10">
        <v>2</v>
      </c>
      <c r="H31" s="62">
        <v>2</v>
      </c>
      <c r="I31" s="7"/>
      <c r="J31" s="5" t="str">
        <f t="shared" ca="1" si="13"/>
        <v/>
      </c>
      <c r="K31" s="5" t="str">
        <f t="shared" ca="1" si="13"/>
        <v/>
      </c>
      <c r="L31" s="5" t="str">
        <f t="shared" ca="1" si="13"/>
        <v/>
      </c>
      <c r="M31" s="5" t="str">
        <f t="shared" ca="1" si="13"/>
        <v/>
      </c>
      <c r="N31" s="5" t="str">
        <f t="shared" ca="1" si="13"/>
        <v/>
      </c>
      <c r="O31" s="5" t="str">
        <f t="shared" ca="1" si="13"/>
        <v/>
      </c>
      <c r="P31" s="5" t="str">
        <f t="shared" ca="1" si="13"/>
        <v/>
      </c>
      <c r="Q31" s="5" t="str">
        <f t="shared" ca="1" si="13"/>
        <v/>
      </c>
      <c r="R31" s="5" t="str">
        <f t="shared" ca="1" si="13"/>
        <v/>
      </c>
      <c r="S31" s="5" t="str">
        <f t="shared" ca="1" si="13"/>
        <v/>
      </c>
      <c r="T31" s="5" t="str">
        <f t="shared" ca="1" si="13"/>
        <v/>
      </c>
      <c r="U31" s="5" t="str">
        <f t="shared" ca="1" si="13"/>
        <v/>
      </c>
      <c r="V31" s="5" t="str">
        <f t="shared" ca="1" si="13"/>
        <v/>
      </c>
      <c r="W31" s="5" t="str">
        <f t="shared" ca="1" si="13"/>
        <v/>
      </c>
      <c r="X31" s="5" t="str">
        <f t="shared" ca="1" si="13"/>
        <v/>
      </c>
      <c r="Y31" s="5" t="str">
        <f t="shared" ca="1" si="13"/>
        <v/>
      </c>
      <c r="Z31" s="5" t="str">
        <f t="shared" ca="1" si="10"/>
        <v/>
      </c>
      <c r="AA31" s="5" t="str">
        <f t="shared" ca="1" si="10"/>
        <v/>
      </c>
      <c r="AB31" s="5" t="str">
        <f t="shared" ca="1" si="10"/>
        <v/>
      </c>
      <c r="AC31" s="5" t="str">
        <f t="shared" ca="1" si="10"/>
        <v/>
      </c>
      <c r="AD31" s="5" t="str">
        <f t="shared" ca="1" si="10"/>
        <v/>
      </c>
      <c r="AE31" s="5" t="str">
        <f t="shared" ca="1" si="10"/>
        <v/>
      </c>
      <c r="AF31" s="5" t="str">
        <f t="shared" ca="1" si="10"/>
        <v/>
      </c>
      <c r="AG31" s="5" t="str">
        <f t="shared" ca="1" si="10"/>
        <v/>
      </c>
      <c r="AH31" s="5" t="str">
        <f t="shared" ca="1" si="10"/>
        <v/>
      </c>
      <c r="AI31" s="5" t="str">
        <f t="shared" ca="1" si="10"/>
        <v/>
      </c>
      <c r="AJ31" s="5" t="str">
        <f t="shared" ca="1" si="10"/>
        <v/>
      </c>
      <c r="AK31" s="5" t="str">
        <f t="shared" ca="1" si="10"/>
        <v/>
      </c>
      <c r="AL31" s="5" t="str">
        <f t="shared" ca="1" si="10"/>
        <v/>
      </c>
      <c r="AM31" s="5" t="str">
        <f t="shared" ca="1" si="10"/>
        <v/>
      </c>
      <c r="AN31" s="5" t="str">
        <f t="shared" ca="1" si="10"/>
        <v/>
      </c>
      <c r="AO31" s="5" t="str">
        <f t="shared" ca="1" si="10"/>
        <v/>
      </c>
      <c r="AP31" s="5" t="str">
        <f t="shared" ca="1" si="11"/>
        <v/>
      </c>
      <c r="AQ31" s="5" t="str">
        <f t="shared" ca="1" si="11"/>
        <v/>
      </c>
      <c r="AR31" s="5" t="str">
        <f t="shared" ca="1" si="11"/>
        <v/>
      </c>
      <c r="AS31" s="5" t="str">
        <f t="shared" ca="1" si="11"/>
        <v/>
      </c>
      <c r="AT31" s="5" t="str">
        <f t="shared" ca="1" si="11"/>
        <v/>
      </c>
      <c r="AU31" s="5" t="str">
        <f t="shared" ca="1" si="11"/>
        <v/>
      </c>
      <c r="AV31" s="5" t="str">
        <f t="shared" ca="1" si="11"/>
        <v/>
      </c>
      <c r="AW31" s="5" t="str">
        <f t="shared" ca="1" si="11"/>
        <v/>
      </c>
      <c r="AX31" s="5" t="str">
        <f t="shared" ca="1" si="11"/>
        <v/>
      </c>
      <c r="AY31" s="5" t="str">
        <f t="shared" ca="1" si="11"/>
        <v/>
      </c>
      <c r="AZ31" s="5" t="str">
        <f t="shared" ca="1" si="11"/>
        <v/>
      </c>
      <c r="BA31" s="5" t="str">
        <f t="shared" ca="1" si="11"/>
        <v/>
      </c>
      <c r="BB31" s="5" t="str">
        <f t="shared" ca="1" si="11"/>
        <v/>
      </c>
      <c r="BC31" s="5" t="str">
        <f t="shared" ca="1" si="11"/>
        <v/>
      </c>
      <c r="BD31" s="5" t="str">
        <f t="shared" ca="1" si="11"/>
        <v/>
      </c>
      <c r="BE31" s="5" t="str">
        <f t="shared" ca="1" si="12"/>
        <v/>
      </c>
      <c r="BF31" s="5" t="str">
        <f t="shared" ca="1" si="12"/>
        <v/>
      </c>
      <c r="BG31" s="5" t="str">
        <f t="shared" ca="1" si="12"/>
        <v/>
      </c>
      <c r="BH31" s="5" t="str">
        <f t="shared" ca="1" si="12"/>
        <v/>
      </c>
      <c r="BI31" s="5" t="str">
        <f t="shared" ca="1" si="12"/>
        <v/>
      </c>
      <c r="BJ31" s="5" t="str">
        <f t="shared" ca="1" si="12"/>
        <v/>
      </c>
      <c r="BK31" s="5" t="str">
        <f t="shared" ca="1" si="12"/>
        <v/>
      </c>
      <c r="BL31" s="5" t="str">
        <f t="shared" ca="1" si="12"/>
        <v/>
      </c>
      <c r="BM31" s="5" t="str">
        <f t="shared" ca="1" si="12"/>
        <v/>
      </c>
    </row>
    <row r="32" spans="1:65" s="1" customFormat="1" ht="18.75" customHeight="1" x14ac:dyDescent="0.3">
      <c r="A32" s="3"/>
      <c r="B32" s="44" t="s">
        <v>43</v>
      </c>
      <c r="C32" s="43"/>
      <c r="D32" s="44" t="s">
        <v>44</v>
      </c>
      <c r="E32" s="8"/>
      <c r="F32" s="9">
        <v>46128</v>
      </c>
      <c r="G32" s="10">
        <v>8</v>
      </c>
      <c r="H32" s="62">
        <v>5</v>
      </c>
      <c r="I32" s="7"/>
      <c r="J32" s="5" t="str">
        <f t="shared" ca="1" si="13"/>
        <v/>
      </c>
      <c r="K32" s="5" t="str">
        <f t="shared" ca="1" si="13"/>
        <v/>
      </c>
      <c r="L32" s="5" t="str">
        <f t="shared" ca="1" si="13"/>
        <v/>
      </c>
      <c r="M32" s="5" t="str">
        <f t="shared" ca="1" si="13"/>
        <v/>
      </c>
      <c r="N32" s="5" t="str">
        <f t="shared" ca="1" si="13"/>
        <v/>
      </c>
      <c r="O32" s="5" t="str">
        <f t="shared" ca="1" si="13"/>
        <v/>
      </c>
      <c r="P32" s="5" t="str">
        <f t="shared" ca="1" si="13"/>
        <v/>
      </c>
      <c r="Q32" s="5" t="str">
        <f t="shared" ca="1" si="13"/>
        <v/>
      </c>
      <c r="R32" s="5" t="str">
        <f t="shared" ca="1" si="13"/>
        <v/>
      </c>
      <c r="S32" s="5" t="str">
        <f t="shared" ca="1" si="13"/>
        <v/>
      </c>
      <c r="T32" s="5" t="str">
        <f t="shared" ca="1" si="13"/>
        <v/>
      </c>
      <c r="U32" s="5" t="str">
        <f t="shared" ca="1" si="13"/>
        <v/>
      </c>
      <c r="V32" s="5" t="str">
        <f t="shared" ca="1" si="13"/>
        <v/>
      </c>
      <c r="W32" s="5" t="str">
        <f t="shared" ca="1" si="13"/>
        <v/>
      </c>
      <c r="X32" s="5" t="str">
        <f t="shared" ca="1" si="13"/>
        <v/>
      </c>
      <c r="Y32" s="5" t="str">
        <f t="shared" ca="1" si="13"/>
        <v/>
      </c>
      <c r="Z32" s="5" t="str">
        <f t="shared" ca="1" si="10"/>
        <v/>
      </c>
      <c r="AA32" s="5" t="str">
        <f t="shared" ca="1" si="10"/>
        <v/>
      </c>
      <c r="AB32" s="5" t="str">
        <f t="shared" ca="1" si="10"/>
        <v/>
      </c>
      <c r="AC32" s="5" t="str">
        <f t="shared" ca="1" si="10"/>
        <v/>
      </c>
      <c r="AD32" s="5" t="str">
        <f t="shared" ca="1" si="10"/>
        <v/>
      </c>
      <c r="AE32" s="5" t="str">
        <f t="shared" ca="1" si="10"/>
        <v/>
      </c>
      <c r="AF32" s="5" t="str">
        <f t="shared" ca="1" si="10"/>
        <v/>
      </c>
      <c r="AG32" s="5" t="str">
        <f t="shared" ca="1" si="10"/>
        <v/>
      </c>
      <c r="AH32" s="5" t="str">
        <f t="shared" ca="1" si="10"/>
        <v/>
      </c>
      <c r="AI32" s="5" t="str">
        <f t="shared" ca="1" si="10"/>
        <v/>
      </c>
      <c r="AJ32" s="5" t="str">
        <f t="shared" ca="1" si="10"/>
        <v/>
      </c>
      <c r="AK32" s="5" t="str">
        <f t="shared" ca="1" si="10"/>
        <v/>
      </c>
      <c r="AL32" s="5" t="str">
        <f t="shared" ca="1" si="10"/>
        <v/>
      </c>
      <c r="AM32" s="5" t="str">
        <f t="shared" ca="1" si="10"/>
        <v/>
      </c>
      <c r="AN32" s="5" t="str">
        <f t="shared" ca="1" si="10"/>
        <v/>
      </c>
      <c r="AO32" s="5" t="str">
        <f t="shared" ca="1" si="10"/>
        <v/>
      </c>
      <c r="AP32" s="5" t="str">
        <f t="shared" ca="1" si="11"/>
        <v/>
      </c>
      <c r="AQ32" s="5" t="str">
        <f t="shared" ca="1" si="11"/>
        <v/>
      </c>
      <c r="AR32" s="5" t="str">
        <f t="shared" ca="1" si="11"/>
        <v/>
      </c>
      <c r="AS32" s="5" t="str">
        <f t="shared" ca="1" si="11"/>
        <v/>
      </c>
      <c r="AT32" s="5" t="str">
        <f t="shared" ca="1" si="11"/>
        <v/>
      </c>
      <c r="AU32" s="5" t="str">
        <f t="shared" ca="1" si="11"/>
        <v/>
      </c>
      <c r="AV32" s="5" t="str">
        <f t="shared" ca="1" si="11"/>
        <v/>
      </c>
      <c r="AW32" s="5" t="str">
        <f t="shared" ca="1" si="11"/>
        <v/>
      </c>
      <c r="AX32" s="5" t="str">
        <f t="shared" ca="1" si="11"/>
        <v/>
      </c>
      <c r="AY32" s="5" t="str">
        <f t="shared" ca="1" si="11"/>
        <v/>
      </c>
      <c r="AZ32" s="5" t="str">
        <f t="shared" ca="1" si="11"/>
        <v/>
      </c>
      <c r="BA32" s="5" t="str">
        <f t="shared" ca="1" si="11"/>
        <v/>
      </c>
      <c r="BB32" s="5" t="str">
        <f t="shared" ca="1" si="11"/>
        <v/>
      </c>
      <c r="BC32" s="5" t="str">
        <f t="shared" ca="1" si="11"/>
        <v/>
      </c>
      <c r="BD32" s="5" t="str">
        <f t="shared" ca="1" si="11"/>
        <v/>
      </c>
      <c r="BE32" s="5" t="str">
        <f t="shared" ca="1" si="12"/>
        <v/>
      </c>
      <c r="BF32" s="5" t="str">
        <f t="shared" ca="1" si="12"/>
        <v/>
      </c>
      <c r="BG32" s="5" t="str">
        <f t="shared" ca="1" si="12"/>
        <v/>
      </c>
      <c r="BH32" s="5" t="str">
        <f t="shared" ca="1" si="12"/>
        <v/>
      </c>
      <c r="BI32" s="5" t="str">
        <f t="shared" ca="1" si="12"/>
        <v/>
      </c>
      <c r="BJ32" s="5" t="str">
        <f t="shared" ca="1" si="12"/>
        <v/>
      </c>
      <c r="BK32" s="5" t="str">
        <f t="shared" ca="1" si="12"/>
        <v/>
      </c>
      <c r="BL32" s="5" t="str">
        <f t="shared" ca="1" si="12"/>
        <v/>
      </c>
      <c r="BM32" s="5" t="str">
        <f t="shared" ca="1" si="12"/>
        <v/>
      </c>
    </row>
    <row r="33" spans="1:65" s="1" customFormat="1" ht="18.75" customHeight="1" x14ac:dyDescent="0.3">
      <c r="A33" s="3"/>
      <c r="B33" s="44" t="s">
        <v>45</v>
      </c>
      <c r="C33" s="43"/>
      <c r="D33" s="44" t="s">
        <v>38</v>
      </c>
      <c r="E33" s="8"/>
      <c r="F33" s="9">
        <v>46139</v>
      </c>
      <c r="G33" s="10">
        <v>10</v>
      </c>
      <c r="H33" s="62">
        <v>7</v>
      </c>
      <c r="I33" s="7"/>
      <c r="J33" s="5" t="str">
        <f t="shared" ca="1" si="13"/>
        <v/>
      </c>
      <c r="K33" s="5" t="str">
        <f t="shared" ca="1" si="13"/>
        <v/>
      </c>
      <c r="L33" s="5" t="str">
        <f t="shared" ca="1" si="13"/>
        <v/>
      </c>
      <c r="M33" s="5" t="str">
        <f t="shared" ca="1" si="13"/>
        <v/>
      </c>
      <c r="N33" s="5" t="str">
        <f t="shared" ca="1" si="13"/>
        <v/>
      </c>
      <c r="O33" s="5" t="str">
        <f t="shared" ca="1" si="13"/>
        <v/>
      </c>
      <c r="P33" s="5" t="str">
        <f t="shared" ca="1" si="13"/>
        <v/>
      </c>
      <c r="Q33" s="5" t="str">
        <f t="shared" ca="1" si="13"/>
        <v/>
      </c>
      <c r="R33" s="5" t="str">
        <f t="shared" ca="1" si="13"/>
        <v/>
      </c>
      <c r="S33" s="5" t="str">
        <f t="shared" ca="1" si="13"/>
        <v/>
      </c>
      <c r="T33" s="5" t="str">
        <f t="shared" ca="1" si="13"/>
        <v/>
      </c>
      <c r="U33" s="5" t="str">
        <f t="shared" ca="1" si="13"/>
        <v/>
      </c>
      <c r="V33" s="5" t="str">
        <f t="shared" ca="1" si="13"/>
        <v/>
      </c>
      <c r="W33" s="5" t="str">
        <f t="shared" ca="1" si="13"/>
        <v/>
      </c>
      <c r="X33" s="5" t="str">
        <f t="shared" ca="1" si="13"/>
        <v/>
      </c>
      <c r="Y33" s="5" t="str">
        <f t="shared" ca="1" si="13"/>
        <v/>
      </c>
      <c r="Z33" s="5" t="str">
        <f t="shared" ca="1" si="10"/>
        <v/>
      </c>
      <c r="AA33" s="5" t="str">
        <f t="shared" ca="1" si="10"/>
        <v/>
      </c>
      <c r="AB33" s="5" t="str">
        <f t="shared" ca="1" si="10"/>
        <v/>
      </c>
      <c r="AC33" s="5" t="str">
        <f t="shared" ca="1" si="10"/>
        <v/>
      </c>
      <c r="AD33" s="5" t="str">
        <f t="shared" ca="1" si="10"/>
        <v/>
      </c>
      <c r="AE33" s="5" t="str">
        <f t="shared" ca="1" si="10"/>
        <v/>
      </c>
      <c r="AF33" s="5" t="str">
        <f t="shared" ca="1" si="10"/>
        <v/>
      </c>
      <c r="AG33" s="5" t="str">
        <f t="shared" ca="1" si="10"/>
        <v/>
      </c>
      <c r="AH33" s="5" t="str">
        <f t="shared" ca="1" si="10"/>
        <v/>
      </c>
      <c r="AI33" s="5" t="str">
        <f t="shared" ca="1" si="10"/>
        <v/>
      </c>
      <c r="AJ33" s="5" t="str">
        <f t="shared" ca="1" si="10"/>
        <v/>
      </c>
      <c r="AK33" s="5" t="str">
        <f t="shared" ca="1" si="10"/>
        <v/>
      </c>
      <c r="AL33" s="5" t="str">
        <f t="shared" ca="1" si="10"/>
        <v/>
      </c>
      <c r="AM33" s="5" t="str">
        <f t="shared" ca="1" si="10"/>
        <v/>
      </c>
      <c r="AN33" s="5" t="str">
        <f t="shared" ca="1" si="10"/>
        <v/>
      </c>
      <c r="AO33" s="5" t="str">
        <f t="shared" ca="1" si="10"/>
        <v/>
      </c>
      <c r="AP33" s="5" t="str">
        <f t="shared" ca="1" si="11"/>
        <v/>
      </c>
      <c r="AQ33" s="5" t="str">
        <f t="shared" ca="1" si="11"/>
        <v/>
      </c>
      <c r="AR33" s="5" t="str">
        <f t="shared" ca="1" si="11"/>
        <v/>
      </c>
      <c r="AS33" s="5" t="str">
        <f t="shared" ca="1" si="11"/>
        <v/>
      </c>
      <c r="AT33" s="5" t="str">
        <f t="shared" ca="1" si="11"/>
        <v/>
      </c>
      <c r="AU33" s="5" t="str">
        <f t="shared" ca="1" si="11"/>
        <v/>
      </c>
      <c r="AV33" s="5" t="str">
        <f t="shared" ca="1" si="11"/>
        <v/>
      </c>
      <c r="AW33" s="5" t="str">
        <f t="shared" ca="1" si="11"/>
        <v/>
      </c>
      <c r="AX33" s="5" t="str">
        <f t="shared" ca="1" si="11"/>
        <v/>
      </c>
      <c r="AY33" s="5" t="str">
        <f t="shared" ca="1" si="11"/>
        <v/>
      </c>
      <c r="AZ33" s="5" t="str">
        <f t="shared" ca="1" si="11"/>
        <v/>
      </c>
      <c r="BA33" s="5" t="str">
        <f t="shared" ca="1" si="11"/>
        <v/>
      </c>
      <c r="BB33" s="5" t="str">
        <f t="shared" ca="1" si="11"/>
        <v/>
      </c>
      <c r="BC33" s="5" t="str">
        <f t="shared" ca="1" si="11"/>
        <v/>
      </c>
      <c r="BD33" s="5" t="str">
        <f t="shared" ca="1" si="11"/>
        <v/>
      </c>
      <c r="BE33" s="5" t="str">
        <f t="shared" ca="1" si="12"/>
        <v/>
      </c>
      <c r="BF33" s="5" t="str">
        <f t="shared" ca="1" si="12"/>
        <v/>
      </c>
      <c r="BG33" s="5" t="str">
        <f t="shared" ca="1" si="12"/>
        <v/>
      </c>
      <c r="BH33" s="5" t="str">
        <f t="shared" ca="1" si="12"/>
        <v/>
      </c>
      <c r="BI33" s="5" t="str">
        <f t="shared" ca="1" si="12"/>
        <v/>
      </c>
      <c r="BJ33" s="5" t="str">
        <f t="shared" ca="1" si="12"/>
        <v/>
      </c>
      <c r="BK33" s="5" t="str">
        <f t="shared" ca="1" si="12"/>
        <v/>
      </c>
      <c r="BL33" s="5" t="str">
        <f t="shared" ca="1" si="12"/>
        <v/>
      </c>
      <c r="BM33" s="5" t="str">
        <f t="shared" ca="1" si="12"/>
        <v/>
      </c>
    </row>
    <row r="34" spans="1:65" s="1" customFormat="1" ht="18.75" customHeight="1" x14ac:dyDescent="0.3">
      <c r="A34" s="3"/>
      <c r="B34" s="44" t="s">
        <v>46</v>
      </c>
      <c r="C34" s="43" t="s">
        <v>47</v>
      </c>
      <c r="D34" s="44" t="s">
        <v>16</v>
      </c>
      <c r="E34" s="8"/>
      <c r="F34" s="9">
        <v>46149</v>
      </c>
      <c r="G34" s="10">
        <v>1</v>
      </c>
      <c r="H34" s="62">
        <v>1</v>
      </c>
      <c r="I34" s="7"/>
      <c r="J34" s="5" t="str">
        <f t="shared" ca="1" si="13"/>
        <v/>
      </c>
      <c r="K34" s="5" t="str">
        <f t="shared" ca="1" si="13"/>
        <v/>
      </c>
      <c r="L34" s="5" t="str">
        <f t="shared" ca="1" si="13"/>
        <v/>
      </c>
      <c r="M34" s="5" t="str">
        <f t="shared" ca="1" si="13"/>
        <v/>
      </c>
      <c r="N34" s="5" t="str">
        <f t="shared" ca="1" si="13"/>
        <v/>
      </c>
      <c r="O34" s="5" t="str">
        <f t="shared" ca="1" si="13"/>
        <v/>
      </c>
      <c r="P34" s="5" t="str">
        <f t="shared" ca="1" si="13"/>
        <v/>
      </c>
      <c r="Q34" s="5" t="str">
        <f t="shared" ca="1" si="13"/>
        <v/>
      </c>
      <c r="R34" s="5" t="str">
        <f t="shared" ca="1" si="13"/>
        <v/>
      </c>
      <c r="S34" s="5" t="str">
        <f t="shared" ca="1" si="13"/>
        <v/>
      </c>
      <c r="T34" s="5" t="str">
        <f t="shared" ca="1" si="13"/>
        <v/>
      </c>
      <c r="U34" s="5" t="str">
        <f t="shared" ca="1" si="13"/>
        <v/>
      </c>
      <c r="V34" s="5" t="str">
        <f t="shared" ca="1" si="13"/>
        <v/>
      </c>
      <c r="W34" s="5" t="str">
        <f t="shared" ca="1" si="13"/>
        <v/>
      </c>
      <c r="X34" s="5" t="str">
        <f t="shared" ca="1" si="13"/>
        <v/>
      </c>
      <c r="Y34" s="5" t="str">
        <f t="shared" ca="1" si="13"/>
        <v/>
      </c>
      <c r="Z34" s="5" t="str">
        <f t="shared" ca="1" si="10"/>
        <v/>
      </c>
      <c r="AA34" s="5" t="str">
        <f t="shared" ca="1" si="10"/>
        <v/>
      </c>
      <c r="AB34" s="5" t="str">
        <f t="shared" ca="1" si="10"/>
        <v/>
      </c>
      <c r="AC34" s="5" t="str">
        <f t="shared" ca="1" si="10"/>
        <v/>
      </c>
      <c r="AD34" s="5" t="str">
        <f t="shared" ca="1" si="10"/>
        <v/>
      </c>
      <c r="AE34" s="5" t="str">
        <f t="shared" ca="1" si="10"/>
        <v/>
      </c>
      <c r="AF34" s="5" t="str">
        <f t="shared" ca="1" si="10"/>
        <v/>
      </c>
      <c r="AG34" s="5" t="str">
        <f t="shared" ca="1" si="10"/>
        <v/>
      </c>
      <c r="AH34" s="5" t="str">
        <f t="shared" ca="1" si="10"/>
        <v/>
      </c>
      <c r="AI34" s="5" t="str">
        <f t="shared" ca="1" si="10"/>
        <v/>
      </c>
      <c r="AJ34" s="5" t="str">
        <f t="shared" ca="1" si="10"/>
        <v/>
      </c>
      <c r="AK34" s="5" t="str">
        <f t="shared" ca="1" si="10"/>
        <v/>
      </c>
      <c r="AL34" s="5" t="str">
        <f t="shared" ca="1" si="10"/>
        <v/>
      </c>
      <c r="AM34" s="5" t="str">
        <f t="shared" ca="1" si="10"/>
        <v/>
      </c>
      <c r="AN34" s="5" t="str">
        <f t="shared" ca="1" si="10"/>
        <v/>
      </c>
      <c r="AO34" s="5" t="str">
        <f t="shared" ca="1" si="10"/>
        <v/>
      </c>
      <c r="AP34" s="5" t="str">
        <f t="shared" ca="1" si="11"/>
        <v/>
      </c>
      <c r="AQ34" s="5" t="str">
        <f t="shared" ca="1" si="11"/>
        <v/>
      </c>
      <c r="AR34" s="5" t="str">
        <f t="shared" ca="1" si="11"/>
        <v/>
      </c>
      <c r="AS34" s="5" t="str">
        <f t="shared" ca="1" si="11"/>
        <v/>
      </c>
      <c r="AT34" s="5" t="str">
        <f t="shared" ca="1" si="11"/>
        <v/>
      </c>
      <c r="AU34" s="5" t="str">
        <f t="shared" ca="1" si="11"/>
        <v/>
      </c>
      <c r="AV34" s="5" t="str">
        <f t="shared" ca="1" si="11"/>
        <v/>
      </c>
      <c r="AW34" s="5" t="str">
        <f t="shared" ca="1" si="11"/>
        <v/>
      </c>
      <c r="AX34" s="5" t="str">
        <f t="shared" ca="1" si="11"/>
        <v/>
      </c>
      <c r="AY34" s="5" t="str">
        <f t="shared" ca="1" si="11"/>
        <v/>
      </c>
      <c r="AZ34" s="5" t="str">
        <f t="shared" ca="1" si="11"/>
        <v/>
      </c>
      <c r="BA34" s="5" t="str">
        <f t="shared" ca="1" si="11"/>
        <v/>
      </c>
      <c r="BB34" s="5" t="str">
        <f t="shared" ca="1" si="11"/>
        <v/>
      </c>
      <c r="BC34" s="5" t="str">
        <f t="shared" ca="1" si="11"/>
        <v/>
      </c>
      <c r="BD34" s="5">
        <f t="shared" ca="1" si="11"/>
        <v>1</v>
      </c>
      <c r="BE34" s="5" t="str">
        <f t="shared" ca="1" si="12"/>
        <v/>
      </c>
      <c r="BF34" s="5" t="str">
        <f t="shared" ca="1" si="12"/>
        <v/>
      </c>
      <c r="BG34" s="5" t="str">
        <f t="shared" ca="1" si="12"/>
        <v/>
      </c>
      <c r="BH34" s="5" t="str">
        <f t="shared" ca="1" si="12"/>
        <v/>
      </c>
      <c r="BI34" s="5" t="str">
        <f t="shared" ca="1" si="12"/>
        <v/>
      </c>
      <c r="BJ34" s="5" t="str">
        <f t="shared" ca="1" si="12"/>
        <v/>
      </c>
      <c r="BK34" s="5" t="str">
        <f t="shared" ca="1" si="12"/>
        <v/>
      </c>
      <c r="BL34" s="5" t="str">
        <f t="shared" ca="1" si="12"/>
        <v/>
      </c>
      <c r="BM34" s="5" t="str">
        <f t="shared" ca="1" si="12"/>
        <v/>
      </c>
    </row>
    <row r="35" spans="1:65" s="1" customFormat="1" ht="18.75" customHeight="1" x14ac:dyDescent="0.3">
      <c r="A35" s="3"/>
      <c r="B35" s="44" t="s">
        <v>48</v>
      </c>
      <c r="C35" s="43"/>
      <c r="D35" s="44" t="s">
        <v>19</v>
      </c>
      <c r="E35" s="8"/>
      <c r="F35" s="9">
        <v>46129</v>
      </c>
      <c r="G35" s="10">
        <v>22</v>
      </c>
      <c r="H35" s="62">
        <v>14</v>
      </c>
      <c r="I35" s="7"/>
      <c r="J35" s="5" t="str">
        <f t="shared" ref="J35:AO35" ca="1" si="14">IF(AND($C35="Objetivo",J$8&gt;=$F35,J$8&lt;=$F35+$G35-1),2,IF(AND($C35="Marco",J$8&gt;=$F35,J$8&lt;=$F35+$G35-1),1,""))</f>
        <v/>
      </c>
      <c r="K35" s="5" t="str">
        <f t="shared" ca="1" si="14"/>
        <v/>
      </c>
      <c r="L35" s="5" t="str">
        <f t="shared" ca="1" si="14"/>
        <v/>
      </c>
      <c r="M35" s="5" t="str">
        <f t="shared" ca="1" si="14"/>
        <v/>
      </c>
      <c r="N35" s="5" t="str">
        <f t="shared" ca="1" si="14"/>
        <v/>
      </c>
      <c r="O35" s="5" t="str">
        <f t="shared" ca="1" si="14"/>
        <v/>
      </c>
      <c r="P35" s="5" t="str">
        <f t="shared" ca="1" si="14"/>
        <v/>
      </c>
      <c r="Q35" s="5" t="str">
        <f t="shared" ca="1" si="14"/>
        <v/>
      </c>
      <c r="R35" s="5" t="str">
        <f t="shared" ca="1" si="14"/>
        <v/>
      </c>
      <c r="S35" s="5" t="str">
        <f t="shared" ca="1" si="14"/>
        <v/>
      </c>
      <c r="T35" s="5" t="str">
        <f t="shared" ca="1" si="14"/>
        <v/>
      </c>
      <c r="U35" s="5" t="str">
        <f t="shared" ca="1" si="14"/>
        <v/>
      </c>
      <c r="V35" s="5" t="str">
        <f t="shared" ca="1" si="14"/>
        <v/>
      </c>
      <c r="W35" s="5" t="str">
        <f t="shared" ca="1" si="14"/>
        <v/>
      </c>
      <c r="X35" s="5" t="str">
        <f t="shared" ca="1" si="14"/>
        <v/>
      </c>
      <c r="Y35" s="5" t="str">
        <f t="shared" ca="1" si="14"/>
        <v/>
      </c>
      <c r="Z35" s="5" t="str">
        <f t="shared" ca="1" si="14"/>
        <v/>
      </c>
      <c r="AA35" s="5" t="str">
        <f t="shared" ca="1" si="14"/>
        <v/>
      </c>
      <c r="AB35" s="5" t="str">
        <f t="shared" ca="1" si="14"/>
        <v/>
      </c>
      <c r="AC35" s="5" t="str">
        <f t="shared" ca="1" si="14"/>
        <v/>
      </c>
      <c r="AD35" s="5" t="str">
        <f t="shared" ca="1" si="14"/>
        <v/>
      </c>
      <c r="AE35" s="5" t="str">
        <f t="shared" ca="1" si="14"/>
        <v/>
      </c>
      <c r="AF35" s="5" t="str">
        <f t="shared" ca="1" si="14"/>
        <v/>
      </c>
      <c r="AG35" s="5" t="str">
        <f t="shared" ca="1" si="14"/>
        <v/>
      </c>
      <c r="AH35" s="5" t="str">
        <f t="shared" ca="1" si="14"/>
        <v/>
      </c>
      <c r="AI35" s="5" t="str">
        <f t="shared" ca="1" si="14"/>
        <v/>
      </c>
      <c r="AJ35" s="5" t="str">
        <f t="shared" ca="1" si="14"/>
        <v/>
      </c>
      <c r="AK35" s="5" t="str">
        <f t="shared" ca="1" si="14"/>
        <v/>
      </c>
      <c r="AL35" s="5" t="str">
        <f t="shared" ca="1" si="14"/>
        <v/>
      </c>
      <c r="AM35" s="5" t="str">
        <f t="shared" ca="1" si="14"/>
        <v/>
      </c>
      <c r="AN35" s="5" t="str">
        <f t="shared" ca="1" si="14"/>
        <v/>
      </c>
      <c r="AO35" s="5" t="str">
        <f t="shared" ca="1" si="14"/>
        <v/>
      </c>
      <c r="AP35" s="5" t="str">
        <f t="shared" ca="1" si="11"/>
        <v/>
      </c>
      <c r="AQ35" s="5" t="str">
        <f t="shared" ca="1" si="11"/>
        <v/>
      </c>
      <c r="AR35" s="5" t="str">
        <f t="shared" ca="1" si="11"/>
        <v/>
      </c>
      <c r="AS35" s="5" t="str">
        <f t="shared" ca="1" si="11"/>
        <v/>
      </c>
      <c r="AT35" s="5" t="str">
        <f t="shared" ca="1" si="11"/>
        <v/>
      </c>
      <c r="AU35" s="5" t="str">
        <f t="shared" ca="1" si="11"/>
        <v/>
      </c>
      <c r="AV35" s="5" t="str">
        <f t="shared" ca="1" si="11"/>
        <v/>
      </c>
      <c r="AW35" s="5" t="str">
        <f t="shared" ca="1" si="11"/>
        <v/>
      </c>
      <c r="AX35" s="5" t="str">
        <f t="shared" ca="1" si="11"/>
        <v/>
      </c>
      <c r="AY35" s="5" t="str">
        <f t="shared" ca="1" si="11"/>
        <v/>
      </c>
      <c r="AZ35" s="5" t="str">
        <f t="shared" ca="1" si="11"/>
        <v/>
      </c>
      <c r="BA35" s="5" t="str">
        <f t="shared" ca="1" si="11"/>
        <v/>
      </c>
      <c r="BB35" s="5" t="str">
        <f t="shared" ca="1" si="11"/>
        <v/>
      </c>
      <c r="BC35" s="5" t="str">
        <f t="shared" ca="1" si="11"/>
        <v/>
      </c>
      <c r="BD35" s="5" t="str">
        <f t="shared" ca="1" si="11"/>
        <v/>
      </c>
      <c r="BE35" s="5" t="str">
        <f t="shared" ca="1" si="12"/>
        <v/>
      </c>
      <c r="BF35" s="5" t="str">
        <f t="shared" ca="1" si="12"/>
        <v/>
      </c>
      <c r="BG35" s="5" t="str">
        <f t="shared" ca="1" si="12"/>
        <v/>
      </c>
      <c r="BH35" s="5" t="str">
        <f t="shared" ca="1" si="12"/>
        <v/>
      </c>
      <c r="BI35" s="5" t="str">
        <f t="shared" ca="1" si="12"/>
        <v/>
      </c>
      <c r="BJ35" s="5" t="str">
        <f t="shared" ca="1" si="12"/>
        <v/>
      </c>
      <c r="BK35" s="5" t="str">
        <f t="shared" ca="1" si="12"/>
        <v/>
      </c>
      <c r="BL35" s="5" t="str">
        <f t="shared" ca="1" si="12"/>
        <v/>
      </c>
      <c r="BM35" s="5" t="str">
        <f t="shared" ca="1" si="12"/>
        <v/>
      </c>
    </row>
    <row r="36" spans="1:65" s="1" customFormat="1" ht="18.75" customHeight="1" x14ac:dyDescent="0.3">
      <c r="A36" s="3"/>
      <c r="B36" s="44" t="s">
        <v>49</v>
      </c>
      <c r="C36" s="43" t="s">
        <v>47</v>
      </c>
      <c r="D36" s="44" t="s">
        <v>16</v>
      </c>
      <c r="E36" s="8"/>
      <c r="F36" s="9">
        <v>46151</v>
      </c>
      <c r="G36" s="10">
        <v>1</v>
      </c>
      <c r="H36" s="62">
        <v>1</v>
      </c>
      <c r="I36" s="7"/>
      <c r="J36" s="5" t="str">
        <f t="shared" ca="1" si="13"/>
        <v/>
      </c>
      <c r="K36" s="5" t="str">
        <f t="shared" ca="1" si="13"/>
        <v/>
      </c>
      <c r="L36" s="5" t="str">
        <f t="shared" ca="1" si="13"/>
        <v/>
      </c>
      <c r="M36" s="5" t="str">
        <f t="shared" ca="1" si="13"/>
        <v/>
      </c>
      <c r="N36" s="5" t="str">
        <f t="shared" ca="1" si="13"/>
        <v/>
      </c>
      <c r="O36" s="5" t="str">
        <f t="shared" ca="1" si="13"/>
        <v/>
      </c>
      <c r="P36" s="5" t="str">
        <f t="shared" ca="1" si="13"/>
        <v/>
      </c>
      <c r="Q36" s="5" t="str">
        <f t="shared" ca="1" si="13"/>
        <v/>
      </c>
      <c r="R36" s="5" t="str">
        <f t="shared" ca="1" si="13"/>
        <v/>
      </c>
      <c r="S36" s="5" t="str">
        <f t="shared" ca="1" si="13"/>
        <v/>
      </c>
      <c r="T36" s="5" t="str">
        <f t="shared" ca="1" si="13"/>
        <v/>
      </c>
      <c r="U36" s="5" t="str">
        <f t="shared" ca="1" si="13"/>
        <v/>
      </c>
      <c r="V36" s="5" t="str">
        <f t="shared" ca="1" si="13"/>
        <v/>
      </c>
      <c r="W36" s="5" t="str">
        <f t="shared" ca="1" si="13"/>
        <v/>
      </c>
      <c r="X36" s="5" t="str">
        <f t="shared" ca="1" si="13"/>
        <v/>
      </c>
      <c r="Y36" s="5" t="str">
        <f t="shared" ca="1" si="13"/>
        <v/>
      </c>
      <c r="Z36" s="5" t="str">
        <f t="shared" ca="1" si="10"/>
        <v/>
      </c>
      <c r="AA36" s="5" t="str">
        <f t="shared" ca="1" si="10"/>
        <v/>
      </c>
      <c r="AB36" s="5" t="str">
        <f t="shared" ca="1" si="10"/>
        <v/>
      </c>
      <c r="AC36" s="5" t="str">
        <f t="shared" ca="1" si="10"/>
        <v/>
      </c>
      <c r="AD36" s="5" t="str">
        <f t="shared" ca="1" si="10"/>
        <v/>
      </c>
      <c r="AE36" s="5" t="str">
        <f t="shared" ca="1" si="10"/>
        <v/>
      </c>
      <c r="AF36" s="5" t="str">
        <f t="shared" ca="1" si="10"/>
        <v/>
      </c>
      <c r="AG36" s="5" t="str">
        <f t="shared" ca="1" si="10"/>
        <v/>
      </c>
      <c r="AH36" s="5" t="str">
        <f t="shared" ca="1" si="10"/>
        <v/>
      </c>
      <c r="AI36" s="5" t="str">
        <f t="shared" ca="1" si="10"/>
        <v/>
      </c>
      <c r="AJ36" s="5" t="str">
        <f t="shared" ca="1" si="10"/>
        <v/>
      </c>
      <c r="AK36" s="5" t="str">
        <f t="shared" ca="1" si="10"/>
        <v/>
      </c>
      <c r="AL36" s="5" t="str">
        <f t="shared" ca="1" si="10"/>
        <v/>
      </c>
      <c r="AM36" s="5" t="str">
        <f t="shared" ca="1" si="10"/>
        <v/>
      </c>
      <c r="AN36" s="5" t="str">
        <f t="shared" ca="1" si="10"/>
        <v/>
      </c>
      <c r="AO36" s="5" t="str">
        <f t="shared" ca="1" si="10"/>
        <v/>
      </c>
      <c r="AP36" s="5" t="str">
        <f t="shared" ca="1" si="11"/>
        <v/>
      </c>
      <c r="AQ36" s="5" t="str">
        <f t="shared" ca="1" si="11"/>
        <v/>
      </c>
      <c r="AR36" s="5" t="str">
        <f t="shared" ca="1" si="11"/>
        <v/>
      </c>
      <c r="AS36" s="5" t="str">
        <f t="shared" ca="1" si="11"/>
        <v/>
      </c>
      <c r="AT36" s="5" t="str">
        <f t="shared" ca="1" si="11"/>
        <v/>
      </c>
      <c r="AU36" s="5" t="str">
        <f t="shared" ca="1" si="11"/>
        <v/>
      </c>
      <c r="AV36" s="5" t="str">
        <f t="shared" ca="1" si="11"/>
        <v/>
      </c>
      <c r="AW36" s="5" t="str">
        <f t="shared" ca="1" si="11"/>
        <v/>
      </c>
      <c r="AX36" s="5" t="str">
        <f t="shared" ca="1" si="11"/>
        <v/>
      </c>
      <c r="AY36" s="5" t="str">
        <f t="shared" ca="1" si="11"/>
        <v/>
      </c>
      <c r="AZ36" s="5" t="str">
        <f t="shared" ca="1" si="11"/>
        <v/>
      </c>
      <c r="BA36" s="5" t="str">
        <f t="shared" ca="1" si="11"/>
        <v/>
      </c>
      <c r="BB36" s="5" t="str">
        <f t="shared" ca="1" si="11"/>
        <v/>
      </c>
      <c r="BC36" s="5" t="str">
        <f t="shared" ca="1" si="11"/>
        <v/>
      </c>
      <c r="BD36" s="5" t="str">
        <f t="shared" ca="1" si="11"/>
        <v/>
      </c>
      <c r="BE36" s="5" t="str">
        <f t="shared" ca="1" si="12"/>
        <v/>
      </c>
      <c r="BF36" s="5">
        <f t="shared" ca="1" si="12"/>
        <v>1</v>
      </c>
      <c r="BG36" s="5" t="str">
        <f t="shared" ca="1" si="12"/>
        <v/>
      </c>
      <c r="BH36" s="5" t="str">
        <f t="shared" ca="1" si="12"/>
        <v/>
      </c>
      <c r="BI36" s="5" t="str">
        <f t="shared" ca="1" si="12"/>
        <v/>
      </c>
      <c r="BJ36" s="5" t="str">
        <f t="shared" ca="1" si="12"/>
        <v/>
      </c>
      <c r="BK36" s="5" t="str">
        <f t="shared" ca="1" si="12"/>
        <v/>
      </c>
      <c r="BL36" s="5" t="str">
        <f t="shared" ca="1" si="12"/>
        <v/>
      </c>
      <c r="BM36" s="5" t="str">
        <f t="shared" ca="1" si="12"/>
        <v/>
      </c>
    </row>
    <row r="37" spans="1:65" s="1" customFormat="1" ht="18.75" customHeight="1" x14ac:dyDescent="0.3">
      <c r="A37" s="3"/>
      <c r="B37" s="44" t="s">
        <v>50</v>
      </c>
      <c r="C37" s="43"/>
      <c r="D37" s="44" t="s">
        <v>19</v>
      </c>
      <c r="E37" s="8"/>
      <c r="F37" s="9">
        <v>46153</v>
      </c>
      <c r="G37" s="10">
        <v>1</v>
      </c>
      <c r="H37" s="62">
        <v>0.2</v>
      </c>
      <c r="I37" s="7"/>
      <c r="J37" s="5" t="str">
        <f t="shared" ca="1" si="13"/>
        <v/>
      </c>
      <c r="K37" s="5" t="str">
        <f t="shared" ca="1" si="13"/>
        <v/>
      </c>
      <c r="L37" s="5" t="str">
        <f t="shared" ca="1" si="13"/>
        <v/>
      </c>
      <c r="M37" s="5" t="str">
        <f t="shared" ca="1" si="13"/>
        <v/>
      </c>
      <c r="N37" s="5" t="str">
        <f t="shared" ca="1" si="13"/>
        <v/>
      </c>
      <c r="O37" s="5" t="str">
        <f t="shared" ca="1" si="13"/>
        <v/>
      </c>
      <c r="P37" s="5" t="str">
        <f t="shared" ca="1" si="13"/>
        <v/>
      </c>
      <c r="Q37" s="5" t="str">
        <f t="shared" ca="1" si="13"/>
        <v/>
      </c>
      <c r="R37" s="5" t="str">
        <f t="shared" ca="1" si="13"/>
        <v/>
      </c>
      <c r="S37" s="5" t="str">
        <f t="shared" ca="1" si="13"/>
        <v/>
      </c>
      <c r="T37" s="5" t="str">
        <f t="shared" ca="1" si="13"/>
        <v/>
      </c>
      <c r="U37" s="5" t="str">
        <f t="shared" ca="1" si="13"/>
        <v/>
      </c>
      <c r="V37" s="5" t="str">
        <f t="shared" ca="1" si="13"/>
        <v/>
      </c>
      <c r="W37" s="5" t="str">
        <f t="shared" ca="1" si="13"/>
        <v/>
      </c>
      <c r="X37" s="5" t="str">
        <f t="shared" ca="1" si="13"/>
        <v/>
      </c>
      <c r="Y37" s="5" t="str">
        <f t="shared" ca="1" si="13"/>
        <v/>
      </c>
      <c r="Z37" s="5" t="str">
        <f t="shared" ca="1" si="10"/>
        <v/>
      </c>
      <c r="AA37" s="5" t="str">
        <f t="shared" ca="1" si="10"/>
        <v/>
      </c>
      <c r="AB37" s="5" t="str">
        <f t="shared" ca="1" si="10"/>
        <v/>
      </c>
      <c r="AC37" s="5" t="str">
        <f t="shared" ca="1" si="10"/>
        <v/>
      </c>
      <c r="AD37" s="5" t="str">
        <f t="shared" ca="1" si="10"/>
        <v/>
      </c>
      <c r="AE37" s="5" t="str">
        <f t="shared" ca="1" si="10"/>
        <v/>
      </c>
      <c r="AF37" s="5" t="str">
        <f t="shared" ca="1" si="10"/>
        <v/>
      </c>
      <c r="AG37" s="5" t="str">
        <f t="shared" ca="1" si="10"/>
        <v/>
      </c>
      <c r="AH37" s="5" t="str">
        <f t="shared" ca="1" si="10"/>
        <v/>
      </c>
      <c r="AI37" s="5" t="str">
        <f t="shared" ca="1" si="10"/>
        <v/>
      </c>
      <c r="AJ37" s="5" t="str">
        <f t="shared" ca="1" si="10"/>
        <v/>
      </c>
      <c r="AK37" s="5" t="str">
        <f t="shared" ca="1" si="10"/>
        <v/>
      </c>
      <c r="AL37" s="5" t="str">
        <f t="shared" ca="1" si="10"/>
        <v/>
      </c>
      <c r="AM37" s="5" t="str">
        <f t="shared" ca="1" si="10"/>
        <v/>
      </c>
      <c r="AN37" s="5" t="str">
        <f t="shared" ca="1" si="10"/>
        <v/>
      </c>
      <c r="AO37" s="5" t="str">
        <f t="shared" ca="1" si="10"/>
        <v/>
      </c>
      <c r="AP37" s="5" t="str">
        <f t="shared" ca="1" si="11"/>
        <v/>
      </c>
      <c r="AQ37" s="5" t="str">
        <f t="shared" ca="1" si="11"/>
        <v/>
      </c>
      <c r="AR37" s="5" t="str">
        <f t="shared" ca="1" si="11"/>
        <v/>
      </c>
      <c r="AS37" s="5" t="str">
        <f t="shared" ca="1" si="11"/>
        <v/>
      </c>
      <c r="AT37" s="5" t="str">
        <f t="shared" ca="1" si="11"/>
        <v/>
      </c>
      <c r="AU37" s="5" t="str">
        <f t="shared" ca="1" si="11"/>
        <v/>
      </c>
      <c r="AV37" s="5" t="str">
        <f t="shared" ca="1" si="11"/>
        <v/>
      </c>
      <c r="AW37" s="5" t="str">
        <f t="shared" ca="1" si="11"/>
        <v/>
      </c>
      <c r="AX37" s="5" t="str">
        <f t="shared" ca="1" si="11"/>
        <v/>
      </c>
      <c r="AY37" s="5" t="str">
        <f t="shared" ca="1" si="11"/>
        <v/>
      </c>
      <c r="AZ37" s="5" t="str">
        <f t="shared" ca="1" si="11"/>
        <v/>
      </c>
      <c r="BA37" s="5" t="str">
        <f t="shared" ca="1" si="11"/>
        <v/>
      </c>
      <c r="BB37" s="5" t="str">
        <f t="shared" ca="1" si="11"/>
        <v/>
      </c>
      <c r="BC37" s="5" t="str">
        <f t="shared" ca="1" si="11"/>
        <v/>
      </c>
      <c r="BD37" s="5" t="str">
        <f t="shared" ca="1" si="11"/>
        <v/>
      </c>
      <c r="BE37" s="5" t="str">
        <f t="shared" ca="1" si="12"/>
        <v/>
      </c>
      <c r="BF37" s="5" t="str">
        <f t="shared" ca="1" si="12"/>
        <v/>
      </c>
      <c r="BG37" s="5" t="str">
        <f t="shared" ca="1" si="12"/>
        <v/>
      </c>
      <c r="BH37" s="5" t="str">
        <f t="shared" ca="1" si="12"/>
        <v/>
      </c>
      <c r="BI37" s="5" t="str">
        <f t="shared" ca="1" si="12"/>
        <v/>
      </c>
      <c r="BJ37" s="5" t="str">
        <f t="shared" ca="1" si="12"/>
        <v/>
      </c>
      <c r="BK37" s="5" t="str">
        <f t="shared" ca="1" si="12"/>
        <v/>
      </c>
      <c r="BL37" s="5" t="str">
        <f t="shared" ca="1" si="12"/>
        <v/>
      </c>
      <c r="BM37" s="5" t="str">
        <f t="shared" ca="1" si="12"/>
        <v/>
      </c>
    </row>
    <row r="38" spans="1:65" s="1" customFormat="1" ht="18.75" customHeight="1" x14ac:dyDescent="0.3">
      <c r="A38" s="3"/>
      <c r="B38" s="44" t="s">
        <v>51</v>
      </c>
      <c r="C38" s="43"/>
      <c r="D38" s="44" t="s">
        <v>19</v>
      </c>
      <c r="E38" s="8"/>
      <c r="F38" s="9">
        <v>46153</v>
      </c>
      <c r="G38" s="10">
        <v>1</v>
      </c>
      <c r="H38" s="62">
        <v>0.2</v>
      </c>
      <c r="I38" s="7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</row>
    <row r="39" spans="1:65" s="1" customFormat="1" ht="18.75" customHeight="1" x14ac:dyDescent="0.3">
      <c r="A39" s="3"/>
      <c r="B39" s="54" t="s">
        <v>52</v>
      </c>
      <c r="C39" s="43"/>
      <c r="D39" s="44" t="s">
        <v>19</v>
      </c>
      <c r="E39" s="8"/>
      <c r="F39" s="9">
        <v>46154</v>
      </c>
      <c r="G39" s="10">
        <v>2</v>
      </c>
      <c r="H39" s="62">
        <v>2</v>
      </c>
      <c r="I39" s="7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</row>
    <row r="40" spans="1:65" s="1" customFormat="1" ht="18.75" customHeight="1" x14ac:dyDescent="0.3">
      <c r="A40" s="3"/>
      <c r="B40" s="44" t="s">
        <v>53</v>
      </c>
      <c r="C40" s="43"/>
      <c r="D40" s="44" t="s">
        <v>19</v>
      </c>
      <c r="E40" s="8"/>
      <c r="F40" s="9">
        <v>46156</v>
      </c>
      <c r="G40" s="10">
        <v>2</v>
      </c>
      <c r="H40" s="62">
        <v>2</v>
      </c>
      <c r="I40" s="7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</row>
    <row r="41" spans="1:65" s="1" customFormat="1" ht="18.75" customHeight="1" x14ac:dyDescent="0.3">
      <c r="A41" s="3"/>
      <c r="B41" s="44" t="s">
        <v>54</v>
      </c>
      <c r="C41" s="43" t="s">
        <v>55</v>
      </c>
      <c r="D41" s="44" t="s">
        <v>16</v>
      </c>
      <c r="E41" s="8"/>
      <c r="F41" s="9">
        <v>46160</v>
      </c>
      <c r="G41" s="10">
        <v>1</v>
      </c>
      <c r="H41" s="62">
        <v>1</v>
      </c>
      <c r="I41" s="7"/>
      <c r="J41" s="5" t="str">
        <f t="shared" ca="1" si="13"/>
        <v/>
      </c>
      <c r="K41" s="5" t="str">
        <f t="shared" ca="1" si="13"/>
        <v/>
      </c>
      <c r="L41" s="5" t="str">
        <f t="shared" ca="1" si="13"/>
        <v/>
      </c>
      <c r="M41" s="5" t="str">
        <f t="shared" ca="1" si="13"/>
        <v/>
      </c>
      <c r="N41" s="5" t="str">
        <f t="shared" ca="1" si="13"/>
        <v/>
      </c>
      <c r="O41" s="5" t="str">
        <f t="shared" ca="1" si="13"/>
        <v/>
      </c>
      <c r="P41" s="5" t="str">
        <f t="shared" ca="1" si="13"/>
        <v/>
      </c>
      <c r="Q41" s="5" t="str">
        <f t="shared" ca="1" si="13"/>
        <v/>
      </c>
      <c r="R41" s="5" t="str">
        <f t="shared" ca="1" si="13"/>
        <v/>
      </c>
      <c r="S41" s="5" t="str">
        <f t="shared" ca="1" si="13"/>
        <v/>
      </c>
      <c r="T41" s="5" t="str">
        <f t="shared" ca="1" si="13"/>
        <v/>
      </c>
      <c r="U41" s="5" t="str">
        <f t="shared" ca="1" si="13"/>
        <v/>
      </c>
      <c r="V41" s="5" t="str">
        <f t="shared" ca="1" si="13"/>
        <v/>
      </c>
      <c r="W41" s="5" t="str">
        <f t="shared" ca="1" si="13"/>
        <v/>
      </c>
      <c r="X41" s="5" t="str">
        <f t="shared" ca="1" si="13"/>
        <v/>
      </c>
      <c r="Y41" s="5" t="str">
        <f t="shared" ca="1" si="13"/>
        <v/>
      </c>
      <c r="Z41" s="5" t="str">
        <f t="shared" ca="1" si="10"/>
        <v/>
      </c>
      <c r="AA41" s="5" t="str">
        <f t="shared" ca="1" si="10"/>
        <v/>
      </c>
      <c r="AB41" s="5" t="str">
        <f t="shared" ca="1" si="10"/>
        <v/>
      </c>
      <c r="AC41" s="5" t="str">
        <f t="shared" ca="1" si="10"/>
        <v/>
      </c>
      <c r="AD41" s="5" t="str">
        <f t="shared" ca="1" si="10"/>
        <v/>
      </c>
      <c r="AE41" s="5" t="str">
        <f t="shared" ca="1" si="10"/>
        <v/>
      </c>
      <c r="AF41" s="5" t="str">
        <f t="shared" ca="1" si="10"/>
        <v/>
      </c>
      <c r="AG41" s="5" t="str">
        <f t="shared" ca="1" si="10"/>
        <v/>
      </c>
      <c r="AH41" s="5" t="str">
        <f t="shared" ca="1" si="10"/>
        <v/>
      </c>
      <c r="AI41" s="5" t="str">
        <f t="shared" ca="1" si="10"/>
        <v/>
      </c>
      <c r="AJ41" s="5" t="str">
        <f t="shared" ca="1" si="10"/>
        <v/>
      </c>
      <c r="AK41" s="5" t="str">
        <f t="shared" ca="1" si="10"/>
        <v/>
      </c>
      <c r="AL41" s="5" t="str">
        <f t="shared" ca="1" si="10"/>
        <v/>
      </c>
      <c r="AM41" s="5" t="str">
        <f t="shared" ca="1" si="10"/>
        <v/>
      </c>
      <c r="AN41" s="5" t="str">
        <f t="shared" ca="1" si="10"/>
        <v/>
      </c>
      <c r="AO41" s="5" t="str">
        <f t="shared" ca="1" si="10"/>
        <v/>
      </c>
      <c r="AP41" s="5" t="str">
        <f t="shared" ca="1" si="11"/>
        <v/>
      </c>
      <c r="AQ41" s="5" t="str">
        <f t="shared" ca="1" si="11"/>
        <v/>
      </c>
      <c r="AR41" s="5" t="str">
        <f t="shared" ca="1" si="11"/>
        <v/>
      </c>
      <c r="AS41" s="5" t="str">
        <f t="shared" ca="1" si="11"/>
        <v/>
      </c>
      <c r="AT41" s="5" t="str">
        <f t="shared" ca="1" si="11"/>
        <v/>
      </c>
      <c r="AU41" s="5" t="str">
        <f t="shared" ca="1" si="11"/>
        <v/>
      </c>
      <c r="AV41" s="5" t="str">
        <f t="shared" ca="1" si="11"/>
        <v/>
      </c>
      <c r="AW41" s="5" t="str">
        <f t="shared" ca="1" si="11"/>
        <v/>
      </c>
      <c r="AX41" s="5" t="str">
        <f t="shared" ca="1" si="11"/>
        <v/>
      </c>
      <c r="AY41" s="5" t="str">
        <f t="shared" ca="1" si="11"/>
        <v/>
      </c>
      <c r="AZ41" s="5" t="str">
        <f t="shared" ca="1" si="11"/>
        <v/>
      </c>
      <c r="BA41" s="5" t="str">
        <f t="shared" ca="1" si="11"/>
        <v/>
      </c>
      <c r="BB41" s="5" t="str">
        <f t="shared" ca="1" si="11"/>
        <v/>
      </c>
      <c r="BC41" s="5" t="str">
        <f t="shared" ca="1" si="11"/>
        <v/>
      </c>
      <c r="BD41" s="5" t="str">
        <f t="shared" ca="1" si="11"/>
        <v/>
      </c>
      <c r="BE41" s="5" t="str">
        <f t="shared" ca="1" si="12"/>
        <v/>
      </c>
      <c r="BF41" s="5" t="str">
        <f t="shared" ca="1" si="12"/>
        <v/>
      </c>
      <c r="BG41" s="5" t="str">
        <f t="shared" ca="1" si="12"/>
        <v/>
      </c>
      <c r="BH41" s="5" t="str">
        <f t="shared" ca="1" si="12"/>
        <v/>
      </c>
      <c r="BI41" s="5" t="str">
        <f t="shared" ca="1" si="12"/>
        <v/>
      </c>
      <c r="BJ41" s="5" t="str">
        <f t="shared" ca="1" si="12"/>
        <v/>
      </c>
      <c r="BK41" s="5" t="str">
        <f t="shared" ca="1" si="12"/>
        <v/>
      </c>
      <c r="BL41" s="5" t="str">
        <f t="shared" ca="1" si="12"/>
        <v/>
      </c>
      <c r="BM41" s="5" t="str">
        <f t="shared" ca="1" si="12"/>
        <v/>
      </c>
    </row>
    <row r="42" spans="1:65" s="1" customFormat="1" ht="19.5" customHeight="1" x14ac:dyDescent="0.3">
      <c r="A42" s="38"/>
      <c r="B42" s="66"/>
      <c r="C42" s="66"/>
      <c r="D42" s="66"/>
      <c r="E42" s="66"/>
      <c r="H42" s="63"/>
    </row>
    <row r="43" spans="1:65" s="1" customFormat="1" ht="82.2" customHeight="1" x14ac:dyDescent="0.3">
      <c r="A43" s="38"/>
      <c r="B43" s="66"/>
      <c r="C43" s="66"/>
      <c r="D43" s="66"/>
      <c r="E43" s="66"/>
      <c r="H43" s="63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</row>
  </sheetData>
  <mergeCells count="4">
    <mergeCell ref="J2:O2"/>
    <mergeCell ref="P2:U2"/>
    <mergeCell ref="B42:E42"/>
    <mergeCell ref="B43:E43"/>
  </mergeCells>
  <conditionalFormatting sqref="E9:E41">
    <cfRule type="dataBar" priority="6">
      <dataBar>
        <cfvo type="num" val="0"/>
        <cfvo type="num" val="1"/>
        <color rgb="FFF8A880"/>
      </dataBar>
      <extLst>
        <ext xmlns:x14="http://schemas.microsoft.com/office/spreadsheetml/2009/9/main" uri="{B025F937-C7B1-47D3-B67F-A62EFF666E3E}">
          <x14:id>{BF2B6452-7C84-42DF-BE5D-B3B8CB5F5069}</x14:id>
        </ext>
      </extLst>
    </cfRule>
  </conditionalFormatting>
  <conditionalFormatting sqref="J7:AN7">
    <cfRule type="expression" dxfId="6" priority="72">
      <formula>J$8&lt;=EOMONTH($J$8,0)</formula>
    </cfRule>
  </conditionalFormatting>
  <conditionalFormatting sqref="J8:BL14 J10:BM41">
    <cfRule type="expression" dxfId="5" priority="1">
      <formula>AND(TODAY()&gt;=J$8,TODAY()&lt;K$8)</formula>
    </cfRule>
  </conditionalFormatting>
  <conditionalFormatting sqref="J7:BM7">
    <cfRule type="expression" dxfId="4" priority="73">
      <formula>AND(J$8&lt;=EOMONTH($J$8,1),J$8&gt;EOMONTH($J$8,0))</formula>
    </cfRule>
  </conditionalFormatting>
  <conditionalFormatting sqref="J10:BM41">
    <cfRule type="expression" dxfId="2" priority="516" stopIfTrue="1">
      <formula>AND(LEN($C10)=0,J$8&gt;=$F10,J$8&lt;=$F10+$G10-1)</formula>
    </cfRule>
  </conditionalFormatting>
  <conditionalFormatting sqref="K7:BM7">
    <cfRule type="expression" dxfId="1" priority="84">
      <formula>AND(K$8&lt;=EOMONTH($J$8,2),K$8&gt;EOMONTH($J$8,0),K$8&gt;EOMONTH($J$8,1))</formula>
    </cfRule>
  </conditionalFormatting>
  <conditionalFormatting sqref="BM8:BM41">
    <cfRule type="expression" dxfId="0" priority="74">
      <formula>AND(TODAY()&gt;=BM$8,TODAY()&lt;BN$7)</formula>
    </cfRule>
  </conditionalFormatting>
  <dataValidations count="10">
    <dataValidation type="whole" operator="greaterThanOrEqual" allowBlank="1" showInputMessage="1" promptTitle="Incremento de Rolagem" prompt="Alterar esse número rola a exibição do Gráfico de Gantt." sqref="C7" xr:uid="{86087FA1-35BE-457A-912C-7FF26BCE687A}">
      <formula1>0</formula1>
    </dataValidation>
    <dataValidation allowBlank="1" showInputMessage="1" showErrorMessage="1" prompt="Esta linha contém cabeçalhos para o cronograma do projeto. B9 a G9 contém informações de programação. Células I9 a BL9 contêm a primeira letra de cada dia da semana para a data acima desse título._x000a_Todos os gráficos de cronograma são gerados em automático." sqref="A9" xr:uid="{B8D2B96F-34FD-4F20-9F50-24DB43B4F207}"/>
    <dataValidation allowBlank="1" showInputMessage="1" showErrorMessage="1" prompt="Uma barra de rolagem está nas células I8 a BL8. _x000a_Para avançar ou retroceder na linha do tempo, insira um valor de 0 ou superior na célula C7._x000a_ Um valor de 0 leva você para o início do gráfico." sqref="A8" xr:uid="{74A0C51E-7215-45D6-BD24-C245B7BE27E3}"/>
    <dataValidation allowBlank="1" showInputMessage="1" showErrorMessage="1" prompt="As células I9 a BL9 contêm o número do dia do mês para o Mês representado no bloco de células acima de cada célula de data e são calculadas automaticamente._x000a_Não modifique essas células._x000a_" sqref="A7" xr:uid="{4842210D-BF55-4A86-A4C6-842F795F4B74}"/>
    <dataValidation allowBlank="1" showInputMessage="1" showErrorMessage="1" prompt="Um Incremento de Rolagem está na célula C7. _x000a_Meses para as datas na linha 7 são exibidos iniciando nas células I6 a BL6._x000a_Não modifique essas células. Eles são atualizados automaticamente com base na data de início do projeto na célula F6." sqref="A6" xr:uid="{EA9CC617-2BA8-4E15-BE35-1DC8ED6023FF}"/>
    <dataValidation allowBlank="1" showInputMessage="1" showErrorMessage="1" prompt="Insira o nome do Líder do Projeto na célula B5. Insira a data de Início do Projeto na célula C6 ou permita que a fórmula de amostra encontre o menor valor de data na tabela Dados de Gantt._x000a_Data de Início do Projeto: o rótulo está na célula B6." sqref="A5" xr:uid="{FAE763E7-9FD8-4860-8671-9ACC7ED6CF64}"/>
    <dataValidation allowBlank="1" showInputMessage="1" showErrorMessage="1" prompt="Insira o Nome da Empresa na célula B4._x000a_Umas legendas nas células I4 a AC4. O rótulo Legenda está na célula G4." sqref="A4" xr:uid="{80AAC854-89E1-4DDF-A7BB-5345D03244F7}"/>
    <dataValidation allowBlank="1" showInputMessage="1" showErrorMessage="1" promptTitle="Criar um Gráfico de Gantt " prompt="Insira o título deste projeto na célula B2. _x000a_Informações sobre como usar esta planilha, incluindo instruções para leitores de tela e o autor desta planilha estão na planilha Sobre._x000a_Continue navegando na coluna A para ouvir mais instruções." sqref="A2" xr:uid="{CFF7D6BF-E50E-4A95-ACAE-5DE35B344326}"/>
    <dataValidation allowBlank="1" showInputMessage="1" showErrorMessage="1" prompt="Insira as informações do Projeto iniciando na célula B11 a G11. _x000a_Insira a Descrição do Marco, selecione uma Categoria, atribua alguém à tarefa e insira o progresso, a data de início e o número de dias para a tarefa iniciar a traçar._x000a_" sqref="A10:A16" xr:uid="{6BCA7D1C-2B33-4267-B02B-4DBA8944EFBD}"/>
    <dataValidation type="list" allowBlank="1" showInputMessage="1" showErrorMessage="1" sqref="C22:C41 C10:C21" xr:uid="{5A09A36B-8928-41F0-917A-9BF524F2361D}">
      <formula1>"Objetivo,Marco"</formula1>
    </dataValidation>
  </dataValidations>
  <printOptions horizontalCentered="1"/>
  <pageMargins left="0.25" right="0.25" top="0.5" bottom="0.5" header="0.3" footer="0.3"/>
  <pageSetup paperSize="9" scale="41" fitToHeight="0" orientation="landscape" r:id="rId1"/>
  <headerFooter differentFirst="1" scaleWithDoc="0">
    <oddFooter>Page &amp;P of &amp;N</oddFooter>
  </headerFooter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F2B6452-7C84-42DF-BE5D-B3B8CB5F506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E9:E41</xm:sqref>
        </x14:conditionalFormatting>
        <x14:conditionalFormatting xmlns:xm="http://schemas.microsoft.com/office/excel/2006/main">
          <x14:cfRule type="expression" priority="76" id="{00000000-000E-0000-0000-00004B000000}">
            <xm:f>OR(   WEEKDAY(J$8,2)&gt;=6,   COUNTIF(Feriados!$A$1:$A$1001,J$8)&gt;0 )</xm:f>
            <x14:dxf>
              <font>
                <b val="0"/>
                <i val="0"/>
                <strike val="0"/>
                <color auto="1"/>
              </font>
              <fill>
                <patternFill>
                  <bgColor theme="2" tint="-4.9989318521683403E-2"/>
                </patternFill>
              </fill>
              <border>
                <vertical/>
                <horizontal/>
              </border>
            </x14:dxf>
          </x14:cfRule>
          <xm:sqref>J10:BM41 J8:BL11</xm:sqref>
        </x14:conditionalFormatting>
        <x14:conditionalFormatting xmlns:xm="http://schemas.microsoft.com/office/excel/2006/main">
          <x14:cfRule type="iconSet" priority="517" id="{67763332-2AE9-4F93-8BB7-5ECDB6B99BA2}">
            <x14:iconSet iconSet="3Star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NoIcons" iconId="0"/>
              <x14:cfIcon iconSet="3Flags" iconId="1"/>
              <x14:cfIcon iconSet="3Signs" iconId="0"/>
            </x14:iconSet>
          </x14:cfRule>
          <xm:sqref>J10:BM41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65D40-0EB7-4C7C-BAB1-5C224ED58CC7}">
  <dimension ref="A1:B14"/>
  <sheetViews>
    <sheetView workbookViewId="0">
      <selection activeCell="A10" sqref="A10"/>
    </sheetView>
  </sheetViews>
  <sheetFormatPr defaultRowHeight="14.4" x14ac:dyDescent="0.3"/>
  <cols>
    <col min="1" max="1" width="10.5546875" style="49" bestFit="1" customWidth="1"/>
    <col min="2" max="2" width="40.109375" bestFit="1" customWidth="1"/>
  </cols>
  <sheetData>
    <row r="1" spans="1:2" x14ac:dyDescent="0.3">
      <c r="A1" s="48" t="s">
        <v>56</v>
      </c>
      <c r="B1" s="47" t="s">
        <v>57</v>
      </c>
    </row>
    <row r="2" spans="1:2" x14ac:dyDescent="0.3">
      <c r="A2" s="49">
        <v>46023</v>
      </c>
      <c r="B2" t="s">
        <v>58</v>
      </c>
    </row>
    <row r="3" spans="1:2" x14ac:dyDescent="0.3">
      <c r="A3" s="49">
        <v>46115</v>
      </c>
      <c r="B3" t="s">
        <v>59</v>
      </c>
    </row>
    <row r="4" spans="1:2" x14ac:dyDescent="0.3">
      <c r="A4" s="49">
        <v>46133</v>
      </c>
      <c r="B4" t="s">
        <v>60</v>
      </c>
    </row>
    <row r="5" spans="1:2" x14ac:dyDescent="0.3">
      <c r="A5" s="49">
        <v>46143</v>
      </c>
      <c r="B5" t="s">
        <v>61</v>
      </c>
    </row>
    <row r="6" spans="1:2" x14ac:dyDescent="0.3">
      <c r="A6" s="49">
        <v>46249</v>
      </c>
      <c r="B6" t="s">
        <v>62</v>
      </c>
    </row>
    <row r="7" spans="1:2" x14ac:dyDescent="0.3">
      <c r="A7" s="49">
        <v>46272</v>
      </c>
      <c r="B7" t="s">
        <v>63</v>
      </c>
    </row>
    <row r="8" spans="1:2" x14ac:dyDescent="0.3">
      <c r="A8" s="49">
        <v>46307</v>
      </c>
      <c r="B8" t="s">
        <v>64</v>
      </c>
    </row>
    <row r="9" spans="1:2" x14ac:dyDescent="0.3">
      <c r="A9" s="49">
        <v>46314</v>
      </c>
      <c r="B9" t="s">
        <v>65</v>
      </c>
    </row>
    <row r="10" spans="1:2" x14ac:dyDescent="0.3">
      <c r="A10" s="49">
        <v>46328</v>
      </c>
      <c r="B10" t="s">
        <v>66</v>
      </c>
    </row>
    <row r="11" spans="1:2" x14ac:dyDescent="0.3">
      <c r="A11" s="49">
        <v>46341</v>
      </c>
      <c r="B11" t="s">
        <v>67</v>
      </c>
    </row>
    <row r="12" spans="1:2" x14ac:dyDescent="0.3">
      <c r="A12" s="49">
        <v>46346</v>
      </c>
      <c r="B12" t="s">
        <v>68</v>
      </c>
    </row>
    <row r="13" spans="1:2" x14ac:dyDescent="0.3">
      <c r="A13" s="49">
        <v>46364</v>
      </c>
      <c r="B13" t="s">
        <v>69</v>
      </c>
    </row>
    <row r="14" spans="1:2" x14ac:dyDescent="0.3">
      <c r="A14" s="49">
        <v>46381</v>
      </c>
      <c r="B14" t="s">
        <v>70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6360C-E2D3-491C-8E68-6BF5514DC7EB}">
  <dimension ref="A3:B19"/>
  <sheetViews>
    <sheetView workbookViewId="0">
      <selection activeCell="B18" sqref="B18"/>
    </sheetView>
  </sheetViews>
  <sheetFormatPr defaultRowHeight="14.4" x14ac:dyDescent="0.3"/>
  <cols>
    <col min="1" max="1" width="21.6640625" bestFit="1" customWidth="1"/>
    <col min="2" max="2" width="17" bestFit="1" customWidth="1"/>
  </cols>
  <sheetData>
    <row r="3" spans="1:2" x14ac:dyDescent="0.3">
      <c r="A3" s="50" t="s">
        <v>71</v>
      </c>
      <c r="B3" t="s">
        <v>72</v>
      </c>
    </row>
    <row r="4" spans="1:2" x14ac:dyDescent="0.3">
      <c r="A4" s="51" t="s">
        <v>23</v>
      </c>
      <c r="B4">
        <v>5</v>
      </c>
    </row>
    <row r="5" spans="1:2" x14ac:dyDescent="0.3">
      <c r="A5" s="51" t="s">
        <v>38</v>
      </c>
      <c r="B5">
        <v>33</v>
      </c>
    </row>
    <row r="6" spans="1:2" x14ac:dyDescent="0.3">
      <c r="A6" s="51" t="s">
        <v>16</v>
      </c>
      <c r="B6">
        <v>4</v>
      </c>
    </row>
    <row r="7" spans="1:2" x14ac:dyDescent="0.3">
      <c r="A7" s="51" t="s">
        <v>19</v>
      </c>
      <c r="B7">
        <v>32.599999999999994</v>
      </c>
    </row>
    <row r="8" spans="1:2" x14ac:dyDescent="0.3">
      <c r="A8" s="51" t="s">
        <v>44</v>
      </c>
      <c r="B8">
        <v>5</v>
      </c>
    </row>
    <row r="9" spans="1:2" x14ac:dyDescent="0.3">
      <c r="A9" s="51" t="s">
        <v>34</v>
      </c>
      <c r="B9">
        <v>3</v>
      </c>
    </row>
    <row r="10" spans="1:2" x14ac:dyDescent="0.3">
      <c r="A10" s="51" t="s">
        <v>21</v>
      </c>
      <c r="B10">
        <v>2</v>
      </c>
    </row>
    <row r="11" spans="1:2" x14ac:dyDescent="0.3">
      <c r="A11" s="51" t="s">
        <v>73</v>
      </c>
      <c r="B11">
        <v>84.6</v>
      </c>
    </row>
    <row r="17" spans="1:2" x14ac:dyDescent="0.3">
      <c r="A17" t="s">
        <v>74</v>
      </c>
      <c r="B17">
        <v>290</v>
      </c>
    </row>
    <row r="18" spans="1:2" x14ac:dyDescent="0.3">
      <c r="A18" t="s">
        <v>75</v>
      </c>
      <c r="B18">
        <f>GETPIVOTDATA("Dias Úteis",$A$3,"Responsável","Perceptiva")*8</f>
        <v>260.79999999999995</v>
      </c>
    </row>
    <row r="19" spans="1:2" x14ac:dyDescent="0.3">
      <c r="A19" t="s">
        <v>76</v>
      </c>
      <c r="B19">
        <f>B17-B18</f>
        <v>29.200000000000045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F1B5A-90C9-48AB-8247-1A9084F0D4BF}">
  <dimension ref="A1:E16"/>
  <sheetViews>
    <sheetView workbookViewId="0">
      <selection activeCell="C13" sqref="C13"/>
    </sheetView>
  </sheetViews>
  <sheetFormatPr defaultRowHeight="14.4" x14ac:dyDescent="0.3"/>
  <cols>
    <col min="1" max="1" width="62" customWidth="1"/>
    <col min="2" max="2" width="21" customWidth="1"/>
    <col min="4" max="4" width="14" bestFit="1" customWidth="1"/>
    <col min="5" max="5" width="11.88671875" bestFit="1" customWidth="1"/>
  </cols>
  <sheetData>
    <row r="1" spans="1:5" x14ac:dyDescent="0.3">
      <c r="A1" s="67" t="s">
        <v>94</v>
      </c>
      <c r="B1" s="67" t="s">
        <v>10</v>
      </c>
      <c r="C1" s="67" t="s">
        <v>95</v>
      </c>
      <c r="D1" s="67" t="s">
        <v>96</v>
      </c>
      <c r="E1" s="67" t="s">
        <v>97</v>
      </c>
    </row>
    <row r="2" spans="1:5" x14ac:dyDescent="0.3">
      <c r="A2" s="68" t="s">
        <v>77</v>
      </c>
      <c r="B2" s="68" t="s">
        <v>78</v>
      </c>
    </row>
    <row r="3" spans="1:5" x14ac:dyDescent="0.3">
      <c r="A3" s="68" t="s">
        <v>79</v>
      </c>
      <c r="B3" s="68" t="s">
        <v>80</v>
      </c>
    </row>
    <row r="4" spans="1:5" ht="28.8" x14ac:dyDescent="0.3">
      <c r="A4" s="68" t="s">
        <v>81</v>
      </c>
      <c r="B4" s="68" t="s">
        <v>98</v>
      </c>
    </row>
    <row r="5" spans="1:5" ht="28.8" x14ac:dyDescent="0.3">
      <c r="A5" s="68" t="s">
        <v>82</v>
      </c>
      <c r="B5" s="68" t="s">
        <v>78</v>
      </c>
    </row>
    <row r="6" spans="1:5" x14ac:dyDescent="0.3">
      <c r="A6" s="68" t="s">
        <v>83</v>
      </c>
      <c r="B6" s="68" t="s">
        <v>3</v>
      </c>
    </row>
    <row r="7" spans="1:5" x14ac:dyDescent="0.3">
      <c r="A7" s="68" t="s">
        <v>84</v>
      </c>
      <c r="B7" s="68" t="s">
        <v>78</v>
      </c>
    </row>
    <row r="8" spans="1:5" ht="28.8" x14ac:dyDescent="0.3">
      <c r="A8" s="68" t="s">
        <v>85</v>
      </c>
      <c r="B8" s="68" t="s">
        <v>86</v>
      </c>
    </row>
    <row r="9" spans="1:5" ht="28.8" x14ac:dyDescent="0.3">
      <c r="A9" s="68" t="s">
        <v>87</v>
      </c>
      <c r="B9" s="68" t="s">
        <v>3</v>
      </c>
      <c r="C9" s="69">
        <v>46108</v>
      </c>
      <c r="D9" t="s">
        <v>100</v>
      </c>
      <c r="E9" t="s">
        <v>99</v>
      </c>
    </row>
    <row r="10" spans="1:5" x14ac:dyDescent="0.3">
      <c r="A10" s="68" t="s">
        <v>88</v>
      </c>
      <c r="B10" s="68" t="s">
        <v>99</v>
      </c>
    </row>
    <row r="11" spans="1:5" x14ac:dyDescent="0.3">
      <c r="A11" s="68" t="s">
        <v>101</v>
      </c>
      <c r="B11" s="68" t="s">
        <v>102</v>
      </c>
    </row>
    <row r="12" spans="1:5" ht="28.8" x14ac:dyDescent="0.3">
      <c r="A12" s="68" t="s">
        <v>89</v>
      </c>
      <c r="B12" s="68" t="s">
        <v>3</v>
      </c>
    </row>
    <row r="13" spans="1:5" x14ac:dyDescent="0.3">
      <c r="A13" s="68" t="s">
        <v>90</v>
      </c>
      <c r="B13" s="68" t="s">
        <v>91</v>
      </c>
      <c r="C13" s="69">
        <v>46108</v>
      </c>
    </row>
    <row r="14" spans="1:5" ht="28.8" x14ac:dyDescent="0.3">
      <c r="A14" s="68" t="s">
        <v>103</v>
      </c>
      <c r="B14" s="68" t="s">
        <v>104</v>
      </c>
    </row>
    <row r="15" spans="1:5" x14ac:dyDescent="0.3">
      <c r="A15" s="68" t="s">
        <v>92</v>
      </c>
      <c r="B15" s="68" t="s">
        <v>98</v>
      </c>
    </row>
    <row r="16" spans="1:5" ht="28.8" x14ac:dyDescent="0.3">
      <c r="A16" s="68" t="s">
        <v>93</v>
      </c>
      <c r="B16" s="68" t="s">
        <v>105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5" ma:contentTypeDescription="Create a new document." ma:contentTypeScope="" ma:versionID="e02306daf00165b375dc6a58966960be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df88fb76bf5f555224557953949c1ec9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AF2F40C-D12E-4644-AA6E-31E499F048D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CD6AD73-D703-40CF-AB8D-72E6A3921BE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3.xml><?xml version="1.0" encoding="utf-8"?>
<ds:datastoreItem xmlns:ds="http://schemas.openxmlformats.org/officeDocument/2006/customXml" ds:itemID="{E419B9A7-BD90-4E8F-A951-10D5C69324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TM55723235</Templat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3</vt:i4>
      </vt:variant>
    </vt:vector>
  </HeadingPairs>
  <TitlesOfParts>
    <vt:vector size="7" baseType="lpstr">
      <vt:lpstr>Gantt</vt:lpstr>
      <vt:lpstr>Feriados</vt:lpstr>
      <vt:lpstr>Indicadores</vt:lpstr>
      <vt:lpstr>Plano de Ação</vt:lpstr>
      <vt:lpstr>Gantt!Incremento_de_Rolagem</vt:lpstr>
      <vt:lpstr>Gantt!Início_do_projeto</vt:lpstr>
      <vt:lpstr>Gantt!Titulos_de_impressao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2022-10-24T06:07:12Z</dcterms:created>
  <dcterms:modified xsi:type="dcterms:W3CDTF">2026-03-27T17:06:30Z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  <property fmtid="{D5CDD505-2E9C-101B-9397-08002B2CF9AE}" pid="3" name="MSIP_Label_9a136511-a64b-497e-aa4a-538a48fdd184_Enabled">
    <vt:lpwstr>true</vt:lpwstr>
  </property>
  <property fmtid="{D5CDD505-2E9C-101B-9397-08002B2CF9AE}" pid="4" name="MSIP_Label_9a136511-a64b-497e-aa4a-538a48fdd184_SetDate">
    <vt:lpwstr>2024-07-11T13:14:00Z</vt:lpwstr>
  </property>
  <property fmtid="{D5CDD505-2E9C-101B-9397-08002B2CF9AE}" pid="5" name="MSIP_Label_9a136511-a64b-497e-aa4a-538a48fdd184_Method">
    <vt:lpwstr>Standard</vt:lpwstr>
  </property>
  <property fmtid="{D5CDD505-2E9C-101B-9397-08002B2CF9AE}" pid="6" name="MSIP_Label_9a136511-a64b-497e-aa4a-538a48fdd184_Name">
    <vt:lpwstr>Uso Interno</vt:lpwstr>
  </property>
  <property fmtid="{D5CDD505-2E9C-101B-9397-08002B2CF9AE}" pid="7" name="MSIP_Label_9a136511-a64b-497e-aa4a-538a48fdd184_SiteId">
    <vt:lpwstr>11ed71fa-8790-4497-9fbd-8b2c6d5c6680</vt:lpwstr>
  </property>
  <property fmtid="{D5CDD505-2E9C-101B-9397-08002B2CF9AE}" pid="8" name="MSIP_Label_9a136511-a64b-497e-aa4a-538a48fdd184_ActionId">
    <vt:lpwstr>c86eca79-3f80-434a-a05f-cad9ac0fd991</vt:lpwstr>
  </property>
  <property fmtid="{D5CDD505-2E9C-101B-9397-08002B2CF9AE}" pid="9" name="MSIP_Label_9a136511-a64b-497e-aa4a-538a48fdd184_ContentBits">
    <vt:lpwstr>0</vt:lpwstr>
  </property>
</Properties>
</file>